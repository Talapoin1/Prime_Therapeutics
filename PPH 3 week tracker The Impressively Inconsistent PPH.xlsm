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lapoin\Desktop\Work Lab to Medtronic\Prime Therapeutics\"/>
    </mc:Choice>
  </mc:AlternateContent>
  <xr:revisionPtr revIDLastSave="0" documentId="8_{FCC5178B-8B04-4BDF-952E-208C7054EB27}" xr6:coauthVersionLast="45" xr6:coauthVersionMax="45" xr10:uidLastSave="{00000000-0000-0000-0000-000000000000}"/>
  <bookViews>
    <workbookView xWindow="3555" yWindow="150" windowWidth="28800" windowHeight="15600" activeTab="2" xr2:uid="{00000000-000D-0000-FFFF-FFFF00000000}"/>
  </bookViews>
  <sheets>
    <sheet name="PPH Blank" sheetId="23" r:id="rId1"/>
    <sheet name="Cases Blank" sheetId="24" r:id="rId2"/>
    <sheet name="Blank" sheetId="2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21" l="1"/>
  <c r="E19" i="21"/>
  <c r="E18" i="21"/>
  <c r="E17" i="21"/>
  <c r="E16" i="21"/>
  <c r="E15" i="21"/>
  <c r="E14" i="21"/>
  <c r="C20" i="21"/>
  <c r="C19" i="21"/>
  <c r="C18" i="21"/>
  <c r="C17" i="21"/>
  <c r="C16" i="21"/>
  <c r="C15" i="21"/>
  <c r="C14" i="21"/>
  <c r="K11" i="21"/>
  <c r="K9" i="21"/>
  <c r="K8" i="21"/>
  <c r="K7" i="21"/>
  <c r="K6" i="21"/>
  <c r="K5" i="21"/>
  <c r="I11" i="21"/>
  <c r="I10" i="21"/>
  <c r="K10" i="21" s="1"/>
  <c r="I9" i="21"/>
  <c r="I8" i="21"/>
  <c r="E11" i="21"/>
  <c r="E10" i="21"/>
  <c r="E9" i="21"/>
  <c r="E8" i="21"/>
  <c r="E7" i="21"/>
  <c r="E6" i="21"/>
  <c r="E5" i="21"/>
  <c r="F7" i="21" l="1"/>
  <c r="F19" i="21"/>
  <c r="F20" i="21"/>
  <c r="L11" i="21" l="1"/>
  <c r="L10" i="21"/>
  <c r="F11" i="21"/>
  <c r="F10" i="21"/>
  <c r="C10" i="23"/>
  <c r="C11" i="23"/>
  <c r="I10" i="23"/>
  <c r="I11" i="23"/>
  <c r="C19" i="23"/>
  <c r="C20" i="23"/>
  <c r="F20" i="23"/>
  <c r="F19" i="23"/>
  <c r="L11" i="23"/>
  <c r="L10" i="23"/>
  <c r="F11" i="23"/>
  <c r="F10" i="23"/>
  <c r="H2" i="21" l="1"/>
  <c r="A5" i="21" l="1"/>
  <c r="D18" i="21"/>
  <c r="D17" i="21"/>
  <c r="D16" i="21"/>
  <c r="D15" i="21"/>
  <c r="D14" i="21"/>
  <c r="J9" i="21"/>
  <c r="D9" i="21"/>
  <c r="J8" i="21"/>
  <c r="D8" i="21"/>
  <c r="J7" i="21"/>
  <c r="D7" i="21"/>
  <c r="J6" i="21"/>
  <c r="D6" i="21"/>
  <c r="J5" i="21"/>
  <c r="D5" i="21"/>
  <c r="I18" i="21" l="1"/>
  <c r="J13" i="21"/>
  <c r="H2" i="24"/>
  <c r="H2" i="23"/>
  <c r="A5" i="24"/>
  <c r="B5" i="24" s="1"/>
  <c r="A5" i="23"/>
  <c r="A6" i="23" s="1"/>
  <c r="F16" i="21" l="1"/>
  <c r="H21" i="21"/>
  <c r="I21" i="21"/>
  <c r="F6" i="21"/>
  <c r="F17" i="21"/>
  <c r="F15" i="21"/>
  <c r="F18" i="21"/>
  <c r="A6" i="24"/>
  <c r="A7" i="24" s="1"/>
  <c r="F14" i="21"/>
  <c r="L9" i="21"/>
  <c r="L8" i="21"/>
  <c r="F9" i="21"/>
  <c r="F5" i="21"/>
  <c r="L5" i="21"/>
  <c r="H16" i="21"/>
  <c r="F8" i="21"/>
  <c r="L7" i="21"/>
  <c r="H18" i="21"/>
  <c r="I16" i="21"/>
  <c r="L6" i="21"/>
  <c r="I20" i="21"/>
  <c r="H20" i="21"/>
  <c r="A8" i="24"/>
  <c r="B7" i="24"/>
  <c r="B6" i="24"/>
  <c r="B6" i="23"/>
  <c r="A7" i="23"/>
  <c r="B5" i="23"/>
  <c r="J16" i="21" l="1"/>
  <c r="K16" i="21" s="1"/>
  <c r="J20" i="21"/>
  <c r="K20" i="21" s="1"/>
  <c r="J18" i="21"/>
  <c r="K18" i="21" s="1"/>
  <c r="A9" i="24"/>
  <c r="B8" i="24"/>
  <c r="A8" i="23"/>
  <c r="B7" i="23"/>
  <c r="D5" i="23"/>
  <c r="D6" i="23"/>
  <c r="C6" i="23" s="1"/>
  <c r="D7" i="23"/>
  <c r="C7" i="23" s="1"/>
  <c r="D8" i="23"/>
  <c r="C8" i="23" s="1"/>
  <c r="D9" i="23"/>
  <c r="C9" i="23" s="1"/>
  <c r="E19" i="23"/>
  <c r="E20" i="23"/>
  <c r="E11" i="23"/>
  <c r="K10" i="23"/>
  <c r="K11" i="23"/>
  <c r="E10" i="23"/>
  <c r="F20" i="24"/>
  <c r="E20" i="24"/>
  <c r="C20" i="24"/>
  <c r="F19" i="24"/>
  <c r="E19" i="24"/>
  <c r="C19" i="24"/>
  <c r="D18" i="24"/>
  <c r="D17" i="24"/>
  <c r="D16" i="24"/>
  <c r="D15" i="24"/>
  <c r="D14" i="24"/>
  <c r="L11" i="24"/>
  <c r="K11" i="24"/>
  <c r="I11" i="24"/>
  <c r="F11" i="24"/>
  <c r="E11" i="24"/>
  <c r="C11" i="24"/>
  <c r="L10" i="24"/>
  <c r="K10" i="24"/>
  <c r="I10" i="24"/>
  <c r="F10" i="24"/>
  <c r="E10" i="24"/>
  <c r="C10" i="24"/>
  <c r="J9" i="24"/>
  <c r="D9" i="24"/>
  <c r="J8" i="24"/>
  <c r="D8" i="24"/>
  <c r="J7" i="24"/>
  <c r="D7" i="24"/>
  <c r="J6" i="24"/>
  <c r="D6" i="24"/>
  <c r="E6" i="24" s="1"/>
  <c r="J5" i="24"/>
  <c r="D5" i="24"/>
  <c r="D18" i="23"/>
  <c r="C18" i="23" s="1"/>
  <c r="D17" i="23"/>
  <c r="C17" i="23" s="1"/>
  <c r="D16" i="23"/>
  <c r="C16" i="23" s="1"/>
  <c r="D15" i="23"/>
  <c r="C15" i="23" s="1"/>
  <c r="D14" i="23"/>
  <c r="C14" i="23" s="1"/>
  <c r="J9" i="23"/>
  <c r="J8" i="23"/>
  <c r="J7" i="23"/>
  <c r="J6" i="23"/>
  <c r="J5" i="23"/>
  <c r="I7" i="23" l="1"/>
  <c r="K7" i="23" s="1"/>
  <c r="I8" i="23"/>
  <c r="K8" i="23" s="1"/>
  <c r="I5" i="23"/>
  <c r="K5" i="23" s="1"/>
  <c r="K9" i="23"/>
  <c r="I9" i="23"/>
  <c r="I6" i="23"/>
  <c r="K6" i="23" s="1"/>
  <c r="C5" i="23"/>
  <c r="E5" i="23" s="1"/>
  <c r="A10" i="24"/>
  <c r="B9" i="24"/>
  <c r="J13" i="24"/>
  <c r="E5" i="24"/>
  <c r="C5" i="24" s="1"/>
  <c r="E9" i="24"/>
  <c r="C9" i="24" s="1"/>
  <c r="C6" i="24"/>
  <c r="E7" i="24"/>
  <c r="C7" i="24" s="1"/>
  <c r="E8" i="24"/>
  <c r="C8" i="24" s="1"/>
  <c r="K5" i="24"/>
  <c r="I5" i="24" s="1"/>
  <c r="K6" i="24"/>
  <c r="I6" i="24" s="1"/>
  <c r="K7" i="24"/>
  <c r="I7" i="24" s="1"/>
  <c r="K8" i="24"/>
  <c r="I8" i="24" s="1"/>
  <c r="K9" i="24"/>
  <c r="I9" i="24" s="1"/>
  <c r="A9" i="23"/>
  <c r="B8" i="23"/>
  <c r="E18" i="23"/>
  <c r="E16" i="23"/>
  <c r="E15" i="23"/>
  <c r="E14" i="23"/>
  <c r="E17" i="23"/>
  <c r="E14" i="24"/>
  <c r="E16" i="24"/>
  <c r="C16" i="24" s="1"/>
  <c r="E17" i="24"/>
  <c r="C17" i="24" s="1"/>
  <c r="E15" i="24"/>
  <c r="C15" i="24" s="1"/>
  <c r="E18" i="24"/>
  <c r="C18" i="24" s="1"/>
  <c r="A6" i="21" l="1"/>
  <c r="B5" i="21"/>
  <c r="A11" i="24"/>
  <c r="B10" i="24"/>
  <c r="H18" i="24"/>
  <c r="H16" i="24"/>
  <c r="I16" i="24"/>
  <c r="F18" i="24"/>
  <c r="I18" i="24"/>
  <c r="L9" i="24"/>
  <c r="A10" i="23"/>
  <c r="B9" i="23"/>
  <c r="F7" i="24"/>
  <c r="F8" i="24"/>
  <c r="F16" i="24"/>
  <c r="F6" i="24"/>
  <c r="L7" i="24"/>
  <c r="F15" i="24"/>
  <c r="F5" i="24"/>
  <c r="I20" i="24"/>
  <c r="L6" i="24"/>
  <c r="F14" i="24"/>
  <c r="L8" i="24"/>
  <c r="C14" i="24"/>
  <c r="H20" i="24" s="1"/>
  <c r="F9" i="24"/>
  <c r="L5" i="24"/>
  <c r="F17" i="24"/>
  <c r="I18" i="23"/>
  <c r="H18" i="23"/>
  <c r="I20" i="23"/>
  <c r="H20" i="23"/>
  <c r="H21" i="24" l="1"/>
  <c r="B6" i="21"/>
  <c r="A7" i="21"/>
  <c r="B11" i="24"/>
  <c r="G5" i="24"/>
  <c r="A11" i="23"/>
  <c r="B10" i="23"/>
  <c r="I21" i="24"/>
  <c r="J18" i="24"/>
  <c r="K18" i="24" s="1"/>
  <c r="J16" i="24"/>
  <c r="K16" i="24" s="1"/>
  <c r="J20" i="24"/>
  <c r="K20" i="24" s="1"/>
  <c r="B7" i="21" l="1"/>
  <c r="A8" i="21"/>
  <c r="G6" i="24"/>
  <c r="H5" i="24"/>
  <c r="B11" i="23"/>
  <c r="G5" i="23"/>
  <c r="H5" i="23" s="1"/>
  <c r="J13" i="23"/>
  <c r="E7" i="23"/>
  <c r="E9" i="23"/>
  <c r="E8" i="23"/>
  <c r="E6" i="23"/>
  <c r="H16" i="23"/>
  <c r="H21" i="23" s="1"/>
  <c r="L6" i="23" l="1"/>
  <c r="F15" i="23"/>
  <c r="F6" i="23"/>
  <c r="F7" i="23"/>
  <c r="F9" i="23"/>
  <c r="L9" i="23"/>
  <c r="F18" i="23"/>
  <c r="F17" i="23"/>
  <c r="F16" i="23"/>
  <c r="F8" i="23"/>
  <c r="L8" i="23"/>
  <c r="F5" i="23"/>
  <c r="L5" i="23"/>
  <c r="F14" i="23"/>
  <c r="L7" i="23"/>
  <c r="A9" i="21"/>
  <c r="B8" i="21"/>
  <c r="G7" i="24"/>
  <c r="H6" i="24"/>
  <c r="G6" i="23"/>
  <c r="H6" i="23" s="1"/>
  <c r="I16" i="23"/>
  <c r="B9" i="21" l="1"/>
  <c r="A10" i="21"/>
  <c r="G8" i="24"/>
  <c r="H7" i="24"/>
  <c r="G7" i="23"/>
  <c r="H7" i="23" s="1"/>
  <c r="I21" i="23"/>
  <c r="J20" i="23"/>
  <c r="K20" i="23" s="1"/>
  <c r="J16" i="23"/>
  <c r="K16" i="23" s="1"/>
  <c r="J18" i="23"/>
  <c r="K18" i="23" s="1"/>
  <c r="A11" i="21" l="1"/>
  <c r="B10" i="21"/>
  <c r="G9" i="24"/>
  <c r="H8" i="24"/>
  <c r="G8" i="23"/>
  <c r="H8" i="23" s="1"/>
  <c r="G5" i="21" l="1"/>
  <c r="B11" i="21"/>
  <c r="G10" i="24"/>
  <c r="H9" i="24"/>
  <c r="G9" i="23"/>
  <c r="H9" i="23" s="1"/>
  <c r="G6" i="21" l="1"/>
  <c r="H5" i="21"/>
  <c r="G11" i="24"/>
  <c r="H10" i="24"/>
  <c r="G10" i="23"/>
  <c r="H10" i="23" s="1"/>
  <c r="H6" i="21" l="1"/>
  <c r="G7" i="21"/>
  <c r="H11" i="24"/>
  <c r="A14" i="24"/>
  <c r="G11" i="23"/>
  <c r="H11" i="23" s="1"/>
  <c r="G8" i="21" l="1"/>
  <c r="H7" i="21"/>
  <c r="A15" i="24"/>
  <c r="B14" i="24"/>
  <c r="A14" i="23"/>
  <c r="G9" i="21" l="1"/>
  <c r="H8" i="21"/>
  <c r="A16" i="24"/>
  <c r="B15" i="24"/>
  <c r="B14" i="23"/>
  <c r="A15" i="23"/>
  <c r="G10" i="21" l="1"/>
  <c r="H9" i="21"/>
  <c r="B16" i="24"/>
  <c r="A17" i="24"/>
  <c r="B15" i="23"/>
  <c r="A16" i="23"/>
  <c r="H10" i="21" l="1"/>
  <c r="G11" i="21"/>
  <c r="A18" i="24"/>
  <c r="B17" i="24"/>
  <c r="A17" i="23"/>
  <c r="B16" i="23"/>
  <c r="A14" i="21" l="1"/>
  <c r="B14" i="21" s="1"/>
  <c r="H11" i="21"/>
  <c r="A19" i="24"/>
  <c r="B18" i="24"/>
  <c r="A18" i="23"/>
  <c r="B17" i="23"/>
  <c r="A15" i="21" l="1"/>
  <c r="A20" i="24"/>
  <c r="B20" i="24" s="1"/>
  <c r="B19" i="24"/>
  <c r="A19" i="23"/>
  <c r="B18" i="23"/>
  <c r="A16" i="21" l="1"/>
  <c r="B15" i="21"/>
  <c r="A20" i="23"/>
  <c r="B20" i="23" s="1"/>
  <c r="B19" i="23"/>
  <c r="B16" i="21" l="1"/>
  <c r="A17" i="21"/>
  <c r="B17" i="21" l="1"/>
  <c r="A18" i="21"/>
  <c r="B18" i="21" l="1"/>
  <c r="A19" i="21"/>
  <c r="A20" i="21" l="1"/>
  <c r="B20" i="21" s="1"/>
  <c r="B19" i="21"/>
</calcChain>
</file>

<file path=xl/sharedStrings.xml><?xml version="1.0" encoding="utf-8"?>
<sst xmlns="http://schemas.openxmlformats.org/spreadsheetml/2006/main" count="89" uniqueCount="22">
  <si>
    <t>Average production hours per day</t>
  </si>
  <si>
    <t>Week 1</t>
  </si>
  <si>
    <t>PPH</t>
  </si>
  <si>
    <t>Week 2</t>
  </si>
  <si>
    <t>Hours in Production</t>
  </si>
  <si>
    <t>Week 3</t>
  </si>
  <si>
    <t>Enter # of Cases Pulled Here</t>
  </si>
  <si>
    <t>Cases needed to pull to stay on track</t>
  </si>
  <si>
    <t>Date:</t>
  </si>
  <si>
    <t>Avg. PPH</t>
  </si>
  <si>
    <t>Total Cases needed to pull in 3 weeks to reach goal.</t>
  </si>
  <si>
    <t>Total Cases Pulled</t>
  </si>
  <si>
    <t>Cases needed to be on track</t>
  </si>
  <si>
    <t xml:space="preserve">+/- cases </t>
  </si>
  <si>
    <t>SUMMARY</t>
  </si>
  <si>
    <t>Target PPH goal</t>
  </si>
  <si>
    <t>Total</t>
  </si>
  <si>
    <t>Enter data as:</t>
  </si>
  <si>
    <t>Or</t>
  </si>
  <si>
    <t>*Switching from one to the other will reset the entire spreadsheet</t>
  </si>
  <si>
    <t>Password to unlock sheets and work book is bob</t>
  </si>
  <si>
    <t>Jan Quadrant Vincent 16 coming soon to a theater near you…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</si>
</sst>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Verdana"/>
      <family val="2"/>
    </font>
    <font>
      <sz val="7"/>
      <color rgb="FF000000"/>
      <name val="Verdana"/>
      <family val="2"/>
    </font>
    <font>
      <sz val="7.5"/>
      <color rgb="FF000000"/>
      <name val="Verdana"/>
      <family val="2"/>
    </font>
    <font>
      <i/>
      <sz val="11"/>
      <color theme="1"/>
      <name val="Blackadder ITC"/>
      <family val="5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993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4" borderId="3" applyNumberFormat="0" applyAlignment="0" applyProtection="0"/>
    <xf numFmtId="0" fontId="8" fillId="6" borderId="0" applyNumberFormat="0" applyBorder="0" applyAlignment="0" applyProtection="0"/>
  </cellStyleXfs>
  <cellXfs count="70">
    <xf numFmtId="0" fontId="0" fillId="0" borderId="0" xfId="0"/>
    <xf numFmtId="0" fontId="0" fillId="0" borderId="0" xfId="0" applyAlignment="1">
      <alignment wrapText="1"/>
    </xf>
    <xf numFmtId="0" fontId="0" fillId="0" borderId="5" xfId="0" applyBorder="1"/>
    <xf numFmtId="0" fontId="0" fillId="0" borderId="4" xfId="0" applyBorder="1"/>
    <xf numFmtId="0" fontId="1" fillId="0" borderId="10" xfId="0" applyFont="1" applyBorder="1"/>
    <xf numFmtId="14" fontId="7" fillId="0" borderId="9" xfId="0" applyNumberFormat="1" applyFont="1" applyBorder="1"/>
    <xf numFmtId="14" fontId="7" fillId="0" borderId="12" xfId="0" applyNumberFormat="1" applyFont="1" applyBorder="1"/>
    <xf numFmtId="0" fontId="7" fillId="0" borderId="7" xfId="0" applyFont="1" applyBorder="1"/>
    <xf numFmtId="0" fontId="5" fillId="4" borderId="6" xfId="4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4" fillId="3" borderId="1" xfId="3" applyAlignment="1">
      <alignment horizontal="center" vertical="center"/>
    </xf>
    <xf numFmtId="0" fontId="3" fillId="3" borderId="2" xfId="2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11" xfId="0" applyFill="1" applyBorder="1"/>
    <xf numFmtId="0" fontId="0" fillId="7" borderId="0" xfId="0" applyFill="1"/>
    <xf numFmtId="0" fontId="0" fillId="7" borderId="0" xfId="0" applyFill="1" applyAlignment="1">
      <alignment wrapText="1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4" fillId="9" borderId="1" xfId="3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6" fillId="10" borderId="7" xfId="0" applyFont="1" applyFill="1" applyBorder="1"/>
    <xf numFmtId="0" fontId="6" fillId="11" borderId="7" xfId="0" applyFont="1" applyFill="1" applyBorder="1"/>
    <xf numFmtId="0" fontId="1" fillId="12" borderId="0" xfId="0" applyFont="1" applyFill="1" applyAlignment="1">
      <alignment horizontal="center" vertical="center"/>
    </xf>
    <xf numFmtId="0" fontId="6" fillId="12" borderId="7" xfId="0" applyFont="1" applyFill="1" applyBorder="1"/>
    <xf numFmtId="0" fontId="9" fillId="3" borderId="2" xfId="2" applyFont="1" applyAlignment="1">
      <alignment horizontal="center" vertical="center" wrapText="1"/>
    </xf>
    <xf numFmtId="0" fontId="8" fillId="13" borderId="5" xfId="5" applyFill="1" applyBorder="1" applyAlignment="1">
      <alignment wrapText="1"/>
    </xf>
    <xf numFmtId="0" fontId="8" fillId="13" borderId="4" xfId="5" applyFill="1" applyBorder="1" applyAlignment="1">
      <alignment wrapText="1"/>
    </xf>
    <xf numFmtId="0" fontId="0" fillId="14" borderId="7" xfId="0" applyFill="1" applyBorder="1"/>
    <xf numFmtId="0" fontId="6" fillId="14" borderId="0" xfId="0" applyFont="1" applyFill="1"/>
    <xf numFmtId="0" fontId="10" fillId="14" borderId="7" xfId="0" applyFont="1" applyFill="1" applyBorder="1" applyAlignment="1">
      <alignment horizontal="center"/>
    </xf>
    <xf numFmtId="0" fontId="10" fillId="14" borderId="7" xfId="0" applyFont="1" applyFill="1" applyBorder="1" applyAlignment="1">
      <alignment horizontal="center" wrapText="1"/>
    </xf>
    <xf numFmtId="0" fontId="11" fillId="7" borderId="13" xfId="1" applyFont="1" applyFill="1" applyBorder="1"/>
    <xf numFmtId="0" fontId="11" fillId="7" borderId="12" xfId="1" applyFont="1" applyFill="1" applyBorder="1"/>
    <xf numFmtId="0" fontId="11" fillId="7" borderId="4" xfId="1" applyFont="1" applyFill="1" applyBorder="1"/>
    <xf numFmtId="0" fontId="12" fillId="7" borderId="0" xfId="0" applyFont="1" applyFill="1"/>
    <xf numFmtId="0" fontId="11" fillId="2" borderId="5" xfId="1" applyFont="1" applyBorder="1"/>
    <xf numFmtId="0" fontId="11" fillId="2" borderId="4" xfId="1" applyFont="1" applyBorder="1"/>
    <xf numFmtId="0" fontId="12" fillId="14" borderId="0" xfId="0" applyFont="1" applyFill="1" applyBorder="1"/>
    <xf numFmtId="0" fontId="0" fillId="14" borderId="0" xfId="0" applyFill="1"/>
    <xf numFmtId="0" fontId="14" fillId="14" borderId="0" xfId="0" applyFont="1" applyFill="1" applyBorder="1"/>
    <xf numFmtId="0" fontId="1" fillId="14" borderId="0" xfId="0" applyFont="1" applyFill="1"/>
    <xf numFmtId="0" fontId="12" fillId="7" borderId="0" xfId="0" applyFont="1" applyFill="1" applyBorder="1"/>
    <xf numFmtId="0" fontId="0" fillId="14" borderId="14" xfId="0" applyFill="1" applyBorder="1" applyAlignment="1">
      <alignment wrapText="1"/>
    </xf>
    <xf numFmtId="0" fontId="0" fillId="14" borderId="15" xfId="0" applyFill="1" applyBorder="1"/>
    <xf numFmtId="0" fontId="0" fillId="0" borderId="15" xfId="0" applyBorder="1"/>
    <xf numFmtId="0" fontId="12" fillId="7" borderId="7" xfId="0" applyFont="1" applyFill="1" applyBorder="1"/>
    <xf numFmtId="0" fontId="0" fillId="13" borderId="5" xfId="0" applyFill="1" applyBorder="1"/>
    <xf numFmtId="0" fontId="0" fillId="0" borderId="7" xfId="0" applyBorder="1"/>
    <xf numFmtId="14" fontId="1" fillId="0" borderId="0" xfId="0" applyNumberFormat="1" applyFont="1"/>
    <xf numFmtId="0" fontId="1" fillId="0" borderId="0" xfId="0" applyFont="1"/>
    <xf numFmtId="0" fontId="15" fillId="6" borderId="7" xfId="5" applyFont="1" applyBorder="1"/>
    <xf numFmtId="0" fontId="7" fillId="0" borderId="9" xfId="0" applyFont="1" applyBorder="1"/>
    <xf numFmtId="0" fontId="9" fillId="3" borderId="16" xfId="2" applyFont="1" applyBorder="1" applyAlignment="1">
      <alignment horizontal="center" vertical="center" wrapText="1"/>
    </xf>
    <xf numFmtId="0" fontId="3" fillId="3" borderId="17" xfId="2" applyBorder="1" applyAlignment="1">
      <alignment horizontal="center" vertical="center" wrapText="1"/>
    </xf>
    <xf numFmtId="14" fontId="7" fillId="0" borderId="18" xfId="0" applyNumberFormat="1" applyFont="1" applyBorder="1"/>
    <xf numFmtId="0" fontId="4" fillId="9" borderId="0" xfId="3" applyFill="1" applyBorder="1" applyAlignment="1">
      <alignment horizontal="center" vertical="center"/>
    </xf>
    <xf numFmtId="0" fontId="8" fillId="7" borderId="0" xfId="5" applyFill="1" applyAlignment="1">
      <alignment wrapText="1"/>
    </xf>
    <xf numFmtId="0" fontId="0" fillId="7" borderId="11" xfId="0" applyFill="1" applyBorder="1" applyAlignment="1"/>
    <xf numFmtId="0" fontId="16" fillId="7" borderId="0" xfId="0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wrapText="1"/>
    </xf>
    <xf numFmtId="14" fontId="8" fillId="6" borderId="12" xfId="5" applyNumberFormat="1" applyBorder="1"/>
  </cellXfs>
  <cellStyles count="6">
    <cellStyle name="Calculation" xfId="3" builtinId="22"/>
    <cellStyle name="Check Cell" xfId="4" builtinId="23"/>
    <cellStyle name="Good" xfId="1" builtinId="26"/>
    <cellStyle name="Neutral" xfId="5" builtinId="28"/>
    <cellStyle name="Normal" xfId="0" builtinId="0"/>
    <cellStyle name="Output" xfId="2" builtinId="21"/>
  </cellStyles>
  <dxfs count="32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39EF7E"/>
      <color rgb="FF48E44C"/>
      <color rgb="FFC993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91440</xdr:colOff>
      <xdr:row>1</xdr:row>
      <xdr:rowOff>53340</xdr:rowOff>
    </xdr:from>
    <xdr:to>
      <xdr:col>16</xdr:col>
      <xdr:colOff>464820</xdr:colOff>
      <xdr:row>11</xdr:row>
      <xdr:rowOff>68580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17480" y="236220"/>
          <a:ext cx="254508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you pulled that day.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r>
            <a:rPr lang="en-US" sz="1100" b="1" u="none" baseline="0"/>
            <a:t>**To work properly, be sure to enter # of cases pulled for each day. Including days not worked.</a:t>
          </a:r>
          <a:endParaRPr lang="en-US" sz="1100" b="1" u="none"/>
        </a:p>
      </xdr:txBody>
    </xdr:sp>
    <xdr:clientData/>
  </xdr:twoCellAnchor>
  <xdr:twoCellAnchor>
    <xdr:from>
      <xdr:col>14</xdr:col>
      <xdr:colOff>205740</xdr:colOff>
      <xdr:row>15</xdr:row>
      <xdr:rowOff>60960</xdr:rowOff>
    </xdr:from>
    <xdr:to>
      <xdr:col>16</xdr:col>
      <xdr:colOff>205740</xdr:colOff>
      <xdr:row>21</xdr:row>
      <xdr:rowOff>7620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927080" y="4564380"/>
          <a:ext cx="1363980" cy="1089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563880</xdr:colOff>
      <xdr:row>1</xdr:row>
      <xdr:rowOff>7620</xdr:rowOff>
    </xdr:from>
    <xdr:to>
      <xdr:col>17</xdr:col>
      <xdr:colOff>434340</xdr:colOff>
      <xdr:row>11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85220" y="190500"/>
          <a:ext cx="306324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you pulled that day.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r>
            <a:rPr lang="en-US" sz="1100" b="1" u="none" baseline="0"/>
            <a:t>**To work properly, be sure to enter # of cases pulled for each day. Including days not worked.</a:t>
          </a:r>
          <a:endParaRPr lang="en-US" sz="1100" b="1" u="none"/>
        </a:p>
      </xdr:txBody>
    </xdr:sp>
    <xdr:clientData/>
  </xdr:twoCellAnchor>
  <xdr:twoCellAnchor>
    <xdr:from>
      <xdr:col>14</xdr:col>
      <xdr:colOff>205740</xdr:colOff>
      <xdr:row>15</xdr:row>
      <xdr:rowOff>60960</xdr:rowOff>
    </xdr:from>
    <xdr:to>
      <xdr:col>16</xdr:col>
      <xdr:colOff>205740</xdr:colOff>
      <xdr:row>21</xdr:row>
      <xdr:rowOff>7620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927080" y="4564380"/>
          <a:ext cx="1363980" cy="1089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99060</xdr:colOff>
      <xdr:row>0</xdr:row>
      <xdr:rowOff>60960</xdr:rowOff>
    </xdr:from>
    <xdr:to>
      <xdr:col>16</xdr:col>
      <xdr:colOff>579120</xdr:colOff>
      <xdr:row>13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452860" y="60960"/>
          <a:ext cx="2651760" cy="408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pulled that day or PPH for that given day provided by the supervisors in their PPH/NMR emails.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the starting date of the measurement period into the </a:t>
          </a:r>
          <a:r>
            <a:rPr lang="en-US" sz="1100" u="none" baseline="0">
              <a:solidFill>
                <a:srgbClr val="FF0000"/>
              </a:solidFill>
            </a:rPr>
            <a:t>red highlighted box</a:t>
          </a:r>
          <a:r>
            <a:rPr lang="en-US" sz="1100" u="none" baseline="0"/>
            <a:t>.</a:t>
          </a:r>
        </a:p>
        <a:p>
          <a:pPr algn="ctr"/>
          <a:endParaRPr lang="en-US" sz="1100" u="none" baseline="0"/>
        </a:p>
        <a:p>
          <a:pPr algn="ctr"/>
          <a:r>
            <a:rPr lang="en-US" sz="1100" b="1" u="none" baseline="0"/>
            <a:t>**Be sure to enter # of cases pulled for each day including days not worked.</a:t>
          </a:r>
          <a:endParaRPr lang="en-US" sz="1100" b="1" u="none"/>
        </a:p>
      </xdr:txBody>
    </xdr:sp>
    <xdr:clientData/>
  </xdr:twoCellAnchor>
  <xdr:twoCellAnchor>
    <xdr:from>
      <xdr:col>12</xdr:col>
      <xdr:colOff>60960</xdr:colOff>
      <xdr:row>15</xdr:row>
      <xdr:rowOff>22860</xdr:rowOff>
    </xdr:from>
    <xdr:to>
      <xdr:col>14</xdr:col>
      <xdr:colOff>373380</xdr:colOff>
      <xdr:row>20</xdr:row>
      <xdr:rowOff>220980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178540" y="4930140"/>
          <a:ext cx="1264920" cy="1112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</xdr:row>
          <xdr:rowOff>28575</xdr:rowOff>
        </xdr:from>
        <xdr:to>
          <xdr:col>2</xdr:col>
          <xdr:colOff>66675</xdr:colOff>
          <xdr:row>2</xdr:row>
          <xdr:rowOff>19050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</xdr:row>
          <xdr:rowOff>47625</xdr:rowOff>
        </xdr:from>
        <xdr:to>
          <xdr:col>2</xdr:col>
          <xdr:colOff>1019175</xdr:colOff>
          <xdr:row>1</xdr:row>
          <xdr:rowOff>238125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Cases Pulled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7"/>
  <sheetViews>
    <sheetView zoomScaleNormal="100"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5" bestFit="1" customWidth="1"/>
    <col min="4" max="4" width="17.85546875" style="1" bestFit="1" customWidth="1"/>
    <col min="5" max="5" width="11.28515625" bestFit="1" customWidth="1"/>
    <col min="6" max="6" width="12.140625" bestFit="1" customWidth="1"/>
    <col min="7" max="7" width="12.28515625" bestFit="1" customWidth="1"/>
    <col min="8" max="8" width="13.7109375" bestFit="1" customWidth="1"/>
    <col min="9" max="9" width="12.710937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20" x14ac:dyDescent="0.25">
      <c r="A1" s="20"/>
      <c r="B1" s="52"/>
      <c r="C1" s="52"/>
      <c r="D1" s="20"/>
      <c r="E1" s="21"/>
      <c r="F1" s="20"/>
      <c r="G1" s="20"/>
      <c r="H1" s="20"/>
      <c r="I1" s="41"/>
      <c r="J1" s="21"/>
      <c r="K1" s="20"/>
      <c r="L1" s="20"/>
      <c r="M1" s="20"/>
      <c r="N1" s="20"/>
      <c r="O1" s="20"/>
      <c r="P1" s="20"/>
      <c r="Q1" s="20"/>
      <c r="R1" s="20"/>
      <c r="S1" s="20"/>
    </row>
    <row r="2" spans="1:20" ht="18.75" x14ac:dyDescent="0.3">
      <c r="A2" s="20"/>
      <c r="B2" s="52"/>
      <c r="C2" s="52"/>
      <c r="D2" s="20"/>
      <c r="E2" s="21"/>
      <c r="F2" s="7" t="s">
        <v>8</v>
      </c>
      <c r="G2" s="5">
        <v>43073</v>
      </c>
      <c r="H2" s="6">
        <f>IF(3&gt;0,$G$2+(3*7-1),)</f>
        <v>43093</v>
      </c>
      <c r="I2" s="20"/>
      <c r="J2" s="21"/>
      <c r="K2" s="20"/>
      <c r="L2" s="20"/>
      <c r="M2" s="20"/>
      <c r="N2" s="20"/>
      <c r="O2" s="20"/>
      <c r="P2" s="20"/>
      <c r="Q2" s="20"/>
      <c r="R2" s="20"/>
      <c r="S2" s="20"/>
    </row>
    <row r="3" spans="1:20" x14ac:dyDescent="0.25">
      <c r="A3" s="20"/>
      <c r="B3" s="20"/>
      <c r="C3" s="20"/>
      <c r="D3" s="20"/>
      <c r="E3" s="21"/>
      <c r="F3" s="20"/>
      <c r="G3" s="20"/>
      <c r="H3" s="20"/>
      <c r="I3" s="20"/>
      <c r="J3" s="20"/>
      <c r="K3" s="21"/>
      <c r="L3" s="20"/>
      <c r="M3" s="20"/>
      <c r="N3" s="20"/>
      <c r="O3" s="20"/>
      <c r="P3" s="20"/>
      <c r="Q3" s="20"/>
      <c r="R3" s="20"/>
      <c r="S3" s="20"/>
      <c r="T3" s="20"/>
    </row>
    <row r="4" spans="1:20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28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  <c r="T4" s="20"/>
    </row>
    <row r="5" spans="1:20" ht="45" customHeight="1" x14ac:dyDescent="0.25">
      <c r="A5" s="55">
        <f>G2</f>
        <v>43073</v>
      </c>
      <c r="B5" s="4" t="str">
        <f>TEXT(A5,"dddd")</f>
        <v>Monday</v>
      </c>
      <c r="C5" s="53">
        <f>IF(D5=0,0,H13)</f>
        <v>5.89</v>
      </c>
      <c r="D5" s="2">
        <f>L13</f>
        <v>7.42</v>
      </c>
      <c r="E5" s="54">
        <f>IF(D5=0,0,ROUNDUP((C5*D5),0))</f>
        <v>44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44</v>
      </c>
      <c r="G5" s="55">
        <f>A11+1</f>
        <v>43080</v>
      </c>
      <c r="H5" s="4" t="str">
        <f>TEXT(G5,"dddd")</f>
        <v>Monday</v>
      </c>
      <c r="I5" s="53">
        <f>IF(J5=0,0,H13)</f>
        <v>5.89</v>
      </c>
      <c r="J5" s="2">
        <f>L13</f>
        <v>7.42</v>
      </c>
      <c r="K5" s="54">
        <f>IF(I5=0,0,ROUNDUP((I5*J5),0))</f>
        <v>44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44</v>
      </c>
      <c r="M5" s="20"/>
      <c r="N5" s="20"/>
      <c r="O5" s="20"/>
      <c r="P5" s="20"/>
      <c r="Q5" s="20"/>
      <c r="R5" s="20"/>
      <c r="S5" s="20"/>
      <c r="T5" s="20"/>
    </row>
    <row r="6" spans="1:20" x14ac:dyDescent="0.25">
      <c r="A6" s="55">
        <f>A5+1</f>
        <v>43074</v>
      </c>
      <c r="B6" s="4" t="str">
        <f t="shared" ref="B6:B11" si="0">TEXT(A6,"dddd")</f>
        <v>Tuesday</v>
      </c>
      <c r="C6" s="53">
        <f>IF(D6=0,0,H13)</f>
        <v>5.89</v>
      </c>
      <c r="D6" s="3">
        <f>L13</f>
        <v>7.42</v>
      </c>
      <c r="E6" s="54">
        <f>IF(D6=0,0,ROUNDUP((C6*D6),0))</f>
        <v>44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44</v>
      </c>
      <c r="G6" s="55">
        <f>G5+1</f>
        <v>43081</v>
      </c>
      <c r="H6" s="4" t="str">
        <f t="shared" ref="H6:H11" si="1">TEXT(G6,"dddd")</f>
        <v>Tuesday</v>
      </c>
      <c r="I6" s="53">
        <f>IF(J6=0,0,H13)</f>
        <v>5.89</v>
      </c>
      <c r="J6" s="3">
        <f>L13</f>
        <v>7.42</v>
      </c>
      <c r="K6" s="54">
        <f t="shared" ref="K6:K11" si="2">IF(I6=0,0,ROUNDUP((I6*J6),0))</f>
        <v>44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44</v>
      </c>
      <c r="M6" s="20"/>
      <c r="N6" s="20"/>
      <c r="O6" s="20"/>
      <c r="P6" s="20"/>
      <c r="Q6" s="20"/>
      <c r="R6" s="20"/>
      <c r="S6" s="20"/>
      <c r="T6" s="20"/>
    </row>
    <row r="7" spans="1:20" x14ac:dyDescent="0.25">
      <c r="A7" s="55">
        <f t="shared" ref="A7:A11" si="3">A6+1</f>
        <v>43075</v>
      </c>
      <c r="B7" s="4" t="str">
        <f t="shared" si="0"/>
        <v>Wednesday</v>
      </c>
      <c r="C7" s="53">
        <f>IF(D7=0,0,H13)</f>
        <v>5.89</v>
      </c>
      <c r="D7" s="3">
        <f>L13</f>
        <v>7.42</v>
      </c>
      <c r="E7" s="54">
        <f t="shared" ref="E7:E10" si="4">IF(D7=0,0,ROUNDUP((C7*D7),0))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44</v>
      </c>
      <c r="G7" s="55">
        <f t="shared" ref="G7:G11" si="5">G6+1</f>
        <v>43082</v>
      </c>
      <c r="H7" s="4" t="str">
        <f t="shared" si="1"/>
        <v>Wednesday</v>
      </c>
      <c r="I7" s="53">
        <f>IF(J7=0,0,H13)</f>
        <v>5.89</v>
      </c>
      <c r="J7" s="3">
        <f>L13</f>
        <v>7.42</v>
      </c>
      <c r="K7" s="54">
        <f t="shared" si="2"/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44</v>
      </c>
      <c r="M7" s="20"/>
      <c r="N7" s="20"/>
      <c r="O7" s="20"/>
      <c r="P7" s="20"/>
      <c r="Q7" s="20"/>
      <c r="R7" s="20"/>
      <c r="S7" s="20"/>
      <c r="T7" s="20"/>
    </row>
    <row r="8" spans="1:20" x14ac:dyDescent="0.25">
      <c r="A8" s="55">
        <f t="shared" si="3"/>
        <v>43076</v>
      </c>
      <c r="B8" s="4" t="str">
        <f t="shared" si="0"/>
        <v>Thursday</v>
      </c>
      <c r="C8" s="53">
        <f>IF(D8=0,0,H13)</f>
        <v>5.89</v>
      </c>
      <c r="D8" s="3">
        <f>L13</f>
        <v>7.42</v>
      </c>
      <c r="E8" s="54">
        <f t="shared" si="4"/>
        <v>44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44</v>
      </c>
      <c r="G8" s="55">
        <f t="shared" si="5"/>
        <v>43083</v>
      </c>
      <c r="H8" s="4" t="str">
        <f t="shared" si="1"/>
        <v>Thursday</v>
      </c>
      <c r="I8" s="53">
        <f>IF(J8=0,0,H13)</f>
        <v>5.89</v>
      </c>
      <c r="J8" s="3">
        <f>L13</f>
        <v>7.42</v>
      </c>
      <c r="K8" s="54">
        <f t="shared" si="2"/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44</v>
      </c>
      <c r="M8" s="20"/>
      <c r="N8" s="20"/>
      <c r="O8" s="20"/>
      <c r="P8" s="20"/>
      <c r="Q8" s="20"/>
      <c r="R8" s="20"/>
      <c r="S8" s="20"/>
      <c r="T8" s="20"/>
    </row>
    <row r="9" spans="1:20" x14ac:dyDescent="0.25">
      <c r="A9" s="55">
        <f t="shared" si="3"/>
        <v>43077</v>
      </c>
      <c r="B9" s="4" t="str">
        <f t="shared" si="0"/>
        <v>Friday</v>
      </c>
      <c r="C9" s="53">
        <f>IF(D9=0,0,H13)</f>
        <v>5.89</v>
      </c>
      <c r="D9" s="3">
        <f>L13</f>
        <v>7.42</v>
      </c>
      <c r="E9" s="54">
        <f t="shared" si="4"/>
        <v>44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44</v>
      </c>
      <c r="G9" s="55">
        <f t="shared" si="5"/>
        <v>43084</v>
      </c>
      <c r="H9" s="4" t="str">
        <f t="shared" si="1"/>
        <v>Friday</v>
      </c>
      <c r="I9" s="53">
        <f>IF(J9=0,0,H13)</f>
        <v>5.89</v>
      </c>
      <c r="J9" s="3">
        <f>L13</f>
        <v>7.42</v>
      </c>
      <c r="K9" s="54">
        <f t="shared" si="2"/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43</v>
      </c>
      <c r="M9" s="20"/>
      <c r="N9" s="20"/>
      <c r="O9" s="20"/>
      <c r="P9" s="20"/>
      <c r="Q9" s="20"/>
      <c r="R9" s="20"/>
      <c r="S9" s="20"/>
      <c r="T9" s="20"/>
    </row>
    <row r="10" spans="1:20" x14ac:dyDescent="0.25">
      <c r="A10" s="55">
        <f t="shared" si="3"/>
        <v>43078</v>
      </c>
      <c r="B10" s="4" t="str">
        <f t="shared" si="0"/>
        <v>Saturday</v>
      </c>
      <c r="C10" s="53">
        <f>IF(D10=0,0,H13)</f>
        <v>0</v>
      </c>
      <c r="D10" s="3">
        <v>0</v>
      </c>
      <c r="E10" s="54">
        <f t="shared" si="4"/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1"/>
        <v>Saturday</v>
      </c>
      <c r="I10" s="53">
        <f>IF(J10=0,0,H13)</f>
        <v>0</v>
      </c>
      <c r="J10" s="3">
        <v>0</v>
      </c>
      <c r="K10" s="54">
        <f t="shared" si="2"/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  <c r="T10" s="20"/>
    </row>
    <row r="11" spans="1:20" x14ac:dyDescent="0.25">
      <c r="A11" s="55">
        <f t="shared" si="3"/>
        <v>43079</v>
      </c>
      <c r="B11" s="4" t="str">
        <f t="shared" si="0"/>
        <v>Sunday</v>
      </c>
      <c r="C11" s="53">
        <f>IF(D11=0,0,H13)</f>
        <v>0</v>
      </c>
      <c r="D11" s="3">
        <v>0</v>
      </c>
      <c r="E11" s="54">
        <f>IF(D11=0,0,ROUNDUP((C11*D11),0))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1"/>
        <v>Sunday</v>
      </c>
      <c r="I11" s="53">
        <f>IF(J11=0,0,H13)</f>
        <v>0</v>
      </c>
      <c r="J11" s="3">
        <v>0</v>
      </c>
      <c r="K11" s="54">
        <f t="shared" si="2"/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  <c r="T11" s="20"/>
    </row>
    <row r="12" spans="1:20" x14ac:dyDescent="0.25">
      <c r="A12" s="20"/>
      <c r="B12" s="19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  <c r="T12" s="20"/>
    </row>
    <row r="13" spans="1:20" ht="75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31" t="s">
        <v>15</v>
      </c>
      <c r="H13" s="24">
        <v>5.89</v>
      </c>
      <c r="I13" s="13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  <c r="T13" s="20"/>
    </row>
    <row r="14" spans="1:20" ht="18.75" x14ac:dyDescent="0.25">
      <c r="A14" s="55">
        <f>G11+1</f>
        <v>43087</v>
      </c>
      <c r="B14" s="4" t="str">
        <f>TEXT(A14,"dddd")</f>
        <v>Monday</v>
      </c>
      <c r="C14" s="53">
        <f>IF(D14=0,0,H13)</f>
        <v>5.89</v>
      </c>
      <c r="D14" s="2">
        <f>L13</f>
        <v>7.42</v>
      </c>
      <c r="E14" s="54">
        <f>IF(D14=0,0,ROUNDUP((C14*D14),0))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43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  <c r="T14" s="20"/>
    </row>
    <row r="15" spans="1:20" ht="30" x14ac:dyDescent="0.25">
      <c r="A15" s="55">
        <f>A14+1</f>
        <v>43088</v>
      </c>
      <c r="B15" s="4" t="str">
        <f t="shared" ref="B15:B20" si="6">TEXT(A15,"dddd")</f>
        <v>Tuesday</v>
      </c>
      <c r="C15" s="53">
        <f>IF(D15=0,0,H13)</f>
        <v>5.89</v>
      </c>
      <c r="D15" s="3">
        <f>L13</f>
        <v>7.42</v>
      </c>
      <c r="E15" s="54">
        <f t="shared" ref="E15:E20" si="7">IF(D15=0,0,ROUNDUP((C15*D15),0))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43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  <c r="T15" s="20"/>
    </row>
    <row r="16" spans="1:20" x14ac:dyDescent="0.25">
      <c r="A16" s="55">
        <f t="shared" ref="A16:A20" si="8">A15+1</f>
        <v>43089</v>
      </c>
      <c r="B16" s="4" t="str">
        <f t="shared" si="6"/>
        <v>Wednesday</v>
      </c>
      <c r="C16" s="53">
        <f>IF(D16=0,0,H13)</f>
        <v>5.89</v>
      </c>
      <c r="D16" s="3">
        <f>L13</f>
        <v>7.42</v>
      </c>
      <c r="E16" s="54">
        <f t="shared" si="7"/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43</v>
      </c>
      <c r="G16" s="25" t="s">
        <v>1</v>
      </c>
      <c r="H16" s="14">
        <f>AVERAGEIF(C5:C11,"&lt;&gt;0")</f>
        <v>5.89</v>
      </c>
      <c r="I16" s="14">
        <f>SUM(E5:E11)</f>
        <v>220</v>
      </c>
      <c r="J16" s="14">
        <f>SUM(F5:F11)</f>
        <v>220</v>
      </c>
      <c r="K16" s="14">
        <f>I16-J16</f>
        <v>0</v>
      </c>
      <c r="L16" s="14"/>
      <c r="M16" s="20"/>
      <c r="N16" s="20"/>
      <c r="O16" s="20"/>
      <c r="P16" s="20"/>
      <c r="Q16" s="20"/>
      <c r="R16" s="20"/>
      <c r="S16" s="20"/>
      <c r="T16" s="20"/>
    </row>
    <row r="17" spans="1:20" x14ac:dyDescent="0.25">
      <c r="A17" s="55">
        <f t="shared" si="8"/>
        <v>43090</v>
      </c>
      <c r="B17" s="4" t="str">
        <f t="shared" si="6"/>
        <v>Thursday</v>
      </c>
      <c r="C17" s="53">
        <f>IF(D17=0,0,H13)</f>
        <v>5.89</v>
      </c>
      <c r="D17" s="3">
        <f>L13</f>
        <v>7.42</v>
      </c>
      <c r="E17" s="54">
        <f t="shared" si="7"/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42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  <c r="T17" s="20"/>
    </row>
    <row r="18" spans="1:20" x14ac:dyDescent="0.25">
      <c r="A18" s="55">
        <f t="shared" si="8"/>
        <v>43091</v>
      </c>
      <c r="B18" s="4" t="str">
        <f t="shared" si="6"/>
        <v>Friday</v>
      </c>
      <c r="C18" s="53">
        <f>IF(D18=0,0,H13)</f>
        <v>5.89</v>
      </c>
      <c r="D18" s="3">
        <f>L13</f>
        <v>7.42</v>
      </c>
      <c r="E18" s="54">
        <f t="shared" si="7"/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40</v>
      </c>
      <c r="G18" s="26" t="s">
        <v>3</v>
      </c>
      <c r="H18" s="14">
        <f>AVERAGEIF(I5:I11,"&lt;&gt;0")</f>
        <v>5.89</v>
      </c>
      <c r="I18" s="14">
        <f>SUM(K5:K11)</f>
        <v>220</v>
      </c>
      <c r="J18" s="14">
        <f>SUM(L5:L11)</f>
        <v>219</v>
      </c>
      <c r="K18" s="14">
        <f t="shared" ref="K18:K20" si="9">I18-J18</f>
        <v>1</v>
      </c>
      <c r="L18" s="14"/>
      <c r="M18" s="20"/>
      <c r="N18" s="20"/>
      <c r="O18" s="20"/>
      <c r="P18" s="20"/>
      <c r="Q18" s="20"/>
      <c r="R18" s="20"/>
      <c r="S18" s="20"/>
      <c r="T18" s="20"/>
    </row>
    <row r="19" spans="1:20" x14ac:dyDescent="0.25">
      <c r="A19" s="55">
        <f t="shared" si="8"/>
        <v>43092</v>
      </c>
      <c r="B19" s="4" t="str">
        <f t="shared" si="6"/>
        <v>Saturday</v>
      </c>
      <c r="C19" s="53">
        <f>IF(D19=0,0,H13)</f>
        <v>0</v>
      </c>
      <c r="D19" s="3">
        <v>0</v>
      </c>
      <c r="E19" s="54">
        <f t="shared" si="7"/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  <c r="T19" s="20"/>
    </row>
    <row r="20" spans="1:20" x14ac:dyDescent="0.25">
      <c r="A20" s="55">
        <f t="shared" si="8"/>
        <v>43093</v>
      </c>
      <c r="B20" s="4" t="str">
        <f t="shared" si="6"/>
        <v>Sunday</v>
      </c>
      <c r="C20" s="53">
        <f>IF(D20=0,0,H13)</f>
        <v>0</v>
      </c>
      <c r="D20" s="3">
        <v>0</v>
      </c>
      <c r="E20" s="54">
        <f t="shared" si="7"/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5.89</v>
      </c>
      <c r="I20" s="14">
        <f>SUM(E14:E20)</f>
        <v>220</v>
      </c>
      <c r="J20" s="14">
        <f>SUM(F14:F20)</f>
        <v>211</v>
      </c>
      <c r="K20" s="14">
        <f t="shared" si="9"/>
        <v>9</v>
      </c>
      <c r="L20" s="14"/>
      <c r="M20" s="20"/>
      <c r="N20" s="20"/>
      <c r="O20" s="20"/>
      <c r="P20" s="20"/>
      <c r="Q20" s="20"/>
      <c r="R20" s="20"/>
      <c r="S20" s="20"/>
      <c r="T20" s="20"/>
    </row>
    <row r="21" spans="1:20" ht="18.75" x14ac:dyDescent="0.3">
      <c r="A21" s="20"/>
      <c r="B21" s="20"/>
      <c r="C21" s="20"/>
      <c r="D21" s="20"/>
      <c r="E21" s="21"/>
      <c r="F21" s="20"/>
      <c r="G21" s="35" t="s">
        <v>16</v>
      </c>
      <c r="H21" s="36">
        <f>AVERAGE(H16,H18,H20)</f>
        <v>5.89</v>
      </c>
      <c r="I21" s="37">
        <f>I16+I18+I20</f>
        <v>660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  <c r="T21" s="20"/>
    </row>
    <row r="22" spans="1:20" x14ac:dyDescent="0.25">
      <c r="A22" s="20"/>
      <c r="B22" s="20"/>
      <c r="C22" s="20"/>
      <c r="D22" s="20"/>
      <c r="E22" s="21"/>
      <c r="F22" s="20"/>
      <c r="G22" s="20"/>
      <c r="H22" s="20"/>
      <c r="I22" s="20"/>
      <c r="J22" s="20"/>
      <c r="K22" s="21"/>
      <c r="L22" s="20"/>
      <c r="M22" s="20"/>
      <c r="N22" s="20"/>
      <c r="O22" s="20"/>
      <c r="P22" s="20"/>
      <c r="Q22" s="20"/>
      <c r="R22" s="20"/>
      <c r="S22" s="20"/>
      <c r="T22" s="20"/>
    </row>
    <row r="23" spans="1:20" x14ac:dyDescent="0.25">
      <c r="A23" s="20"/>
      <c r="B23" s="20"/>
      <c r="C23" s="20"/>
      <c r="D23" s="20"/>
      <c r="E23" s="21"/>
      <c r="F23" s="20"/>
      <c r="G23" s="20"/>
      <c r="H23" s="20"/>
      <c r="I23" s="20"/>
      <c r="J23" s="20"/>
      <c r="K23" s="21"/>
      <c r="L23" s="20"/>
      <c r="M23" s="20"/>
      <c r="N23" s="20"/>
      <c r="O23" s="20"/>
      <c r="P23" s="20"/>
      <c r="Q23" s="20"/>
      <c r="R23" s="20"/>
      <c r="S23" s="20"/>
      <c r="T23" s="20"/>
    </row>
    <row r="24" spans="1:20" x14ac:dyDescent="0.25">
      <c r="A24" s="20"/>
      <c r="B24" s="20"/>
      <c r="C24" s="20"/>
      <c r="D24" s="20"/>
      <c r="E24" s="21"/>
      <c r="F24" s="20"/>
      <c r="G24" s="20"/>
      <c r="H24" s="20"/>
      <c r="I24" s="20"/>
      <c r="J24" s="20"/>
      <c r="K24" s="21"/>
      <c r="L24" s="20"/>
      <c r="M24" s="20"/>
      <c r="N24" s="20"/>
      <c r="O24" s="20"/>
      <c r="P24" s="20"/>
      <c r="Q24" s="20"/>
      <c r="R24" s="20"/>
      <c r="S24" s="20"/>
      <c r="T24" s="20"/>
    </row>
    <row r="25" spans="1:20" x14ac:dyDescent="0.25">
      <c r="A25" s="20"/>
      <c r="B25" s="20"/>
      <c r="C25" s="20"/>
      <c r="D25" s="20"/>
      <c r="E25" s="21"/>
      <c r="F25" s="20"/>
      <c r="G25" s="20"/>
      <c r="H25" s="20"/>
      <c r="I25" s="20"/>
      <c r="J25" s="20"/>
      <c r="K25" s="21"/>
      <c r="L25" s="20"/>
      <c r="M25" s="20"/>
      <c r="N25" s="20"/>
      <c r="O25" s="20"/>
      <c r="P25" s="20"/>
      <c r="Q25" s="20"/>
      <c r="R25" s="20"/>
      <c r="S25" s="20"/>
      <c r="T25" s="20"/>
    </row>
    <row r="26" spans="1:20" x14ac:dyDescent="0.25">
      <c r="A26" s="20"/>
      <c r="B26" s="20"/>
      <c r="C26" s="20"/>
      <c r="D26" s="20"/>
      <c r="E26" s="21"/>
      <c r="F26" s="20"/>
      <c r="G26" s="20"/>
      <c r="H26" s="20"/>
      <c r="I26" s="20"/>
      <c r="J26" s="20"/>
      <c r="K26" s="21"/>
      <c r="L26" s="20"/>
      <c r="M26" s="20"/>
      <c r="N26" s="20"/>
      <c r="O26" s="20"/>
      <c r="P26" s="20"/>
      <c r="Q26" s="20"/>
      <c r="R26" s="20"/>
      <c r="S26" s="20"/>
      <c r="T26" s="20"/>
    </row>
    <row r="27" spans="1:20" x14ac:dyDescent="0.25">
      <c r="A27" s="20"/>
      <c r="B27" s="20"/>
      <c r="C27" s="20"/>
      <c r="D27" s="20"/>
      <c r="E27" s="21"/>
      <c r="F27" s="20"/>
      <c r="G27" s="20"/>
      <c r="H27" s="20"/>
      <c r="I27" s="20"/>
      <c r="J27" s="20"/>
      <c r="K27" s="21"/>
      <c r="L27" s="20"/>
      <c r="M27" s="20"/>
      <c r="N27" s="20"/>
      <c r="O27" s="20"/>
      <c r="P27" s="20"/>
      <c r="Q27" s="20"/>
      <c r="R27" s="20"/>
      <c r="S27" s="20"/>
      <c r="T27" s="20"/>
    </row>
  </sheetData>
  <sheetProtection algorithmName="SHA-512" hashValue="LHHHYpklPnmUPRxuW7BC4MHmiUXXWTLCM2syoVVHt5IA7De5epkdUfnaRJV2JtShCas0hfMEg7aagCSPktC5fg==" saltValue="koEAQ2HocklQbNnB82wezA==" spinCount="100000" sheet="1" objects="1" scenarios="1"/>
  <conditionalFormatting sqref="K16:K20">
    <cfRule type="iconSet" priority="162">
      <iconSet>
        <cfvo type="percent" val="0"/>
        <cfvo type="num" val="0"/>
        <cfvo type="num" val="0" gte="0"/>
      </iconSet>
    </cfRule>
  </conditionalFormatting>
  <conditionalFormatting sqref="C5">
    <cfRule type="expression" dxfId="320" priority="101">
      <formula>_xlfn.ISFORMULA($C$5)</formula>
    </cfRule>
  </conditionalFormatting>
  <conditionalFormatting sqref="C6">
    <cfRule type="expression" dxfId="319" priority="100">
      <formula>_xlfn.ISFORMULA($C$6)</formula>
    </cfRule>
  </conditionalFormatting>
  <conditionalFormatting sqref="C7">
    <cfRule type="expression" dxfId="318" priority="99">
      <formula>_xlfn.ISFORMULA($C$7)</formula>
    </cfRule>
  </conditionalFormatting>
  <conditionalFormatting sqref="C8">
    <cfRule type="expression" dxfId="317" priority="98">
      <formula>_xlfn.ISFORMULA($C$8)</formula>
    </cfRule>
  </conditionalFormatting>
  <conditionalFormatting sqref="C9">
    <cfRule type="expression" dxfId="316" priority="97">
      <formula>_xlfn.ISFORMULA($C$9)</formula>
    </cfRule>
  </conditionalFormatting>
  <conditionalFormatting sqref="C10">
    <cfRule type="expression" dxfId="315" priority="95">
      <formula>_xlfn.ISFORMULA($C$10)</formula>
    </cfRule>
  </conditionalFormatting>
  <conditionalFormatting sqref="C11">
    <cfRule type="expression" dxfId="314" priority="94">
      <formula>_xlfn.ISFORMULA($C$11)</formula>
    </cfRule>
  </conditionalFormatting>
  <conditionalFormatting sqref="I5">
    <cfRule type="expression" dxfId="313" priority="93">
      <formula>_xlfn.ISFORMULA($I$5)</formula>
    </cfRule>
  </conditionalFormatting>
  <conditionalFormatting sqref="I6">
    <cfRule type="expression" dxfId="312" priority="92">
      <formula>_xlfn.ISFORMULA($I$6)</formula>
    </cfRule>
  </conditionalFormatting>
  <conditionalFormatting sqref="I7">
    <cfRule type="expression" dxfId="311" priority="91">
      <formula>_xlfn.ISFORMULA($I$7)</formula>
    </cfRule>
  </conditionalFormatting>
  <conditionalFormatting sqref="I8">
    <cfRule type="expression" dxfId="310" priority="90">
      <formula>_xlfn.ISFORMULA($I$8)</formula>
    </cfRule>
  </conditionalFormatting>
  <conditionalFormatting sqref="I9">
    <cfRule type="expression" dxfId="309" priority="89">
      <formula>_xlfn.ISFORMULA($I$9)</formula>
    </cfRule>
  </conditionalFormatting>
  <conditionalFormatting sqref="I10">
    <cfRule type="expression" dxfId="308" priority="88">
      <formula>_xlfn.ISFORMULA($I$10)</formula>
    </cfRule>
  </conditionalFormatting>
  <conditionalFormatting sqref="I11">
    <cfRule type="expression" dxfId="307" priority="86">
      <formula>_xlfn.ISFORMULA($I$11)</formula>
    </cfRule>
  </conditionalFormatting>
  <conditionalFormatting sqref="C14">
    <cfRule type="expression" dxfId="306" priority="85">
      <formula>_xlfn.ISFORMULA($C$14)</formula>
    </cfRule>
  </conditionalFormatting>
  <conditionalFormatting sqref="C15">
    <cfRule type="expression" dxfId="305" priority="84">
      <formula>_xlfn.ISFORMULA($C$15)</formula>
    </cfRule>
  </conditionalFormatting>
  <conditionalFormatting sqref="C16">
    <cfRule type="expression" dxfId="304" priority="83">
      <formula>_xlfn.ISFORMULA($C$16)</formula>
    </cfRule>
  </conditionalFormatting>
  <conditionalFormatting sqref="C17">
    <cfRule type="expression" dxfId="303" priority="82">
      <formula>_xlfn.ISFORMULA($C$17)</formula>
    </cfRule>
  </conditionalFormatting>
  <conditionalFormatting sqref="C18">
    <cfRule type="expression" dxfId="302" priority="81">
      <formula>_xlfn.ISFORMULA($C$18)</formula>
    </cfRule>
  </conditionalFormatting>
  <conditionalFormatting sqref="C19">
    <cfRule type="expression" dxfId="301" priority="80">
      <formula>_xlfn.ISFORMULA($C$19)</formula>
    </cfRule>
  </conditionalFormatting>
  <conditionalFormatting sqref="C20">
    <cfRule type="expression" dxfId="300" priority="79">
      <formula>_xlfn.ISFORMULA($C$20)</formula>
    </cfRule>
  </conditionalFormatting>
  <conditionalFormatting sqref="F8">
    <cfRule type="expression" dxfId="299" priority="60">
      <formula>NOT(_xlfn.ISFORMULA($C$8))</formula>
    </cfRule>
    <cfRule type="expression" dxfId="298" priority="64">
      <formula>NOT(_xlfn.ISFORMULA($E$8))</formula>
    </cfRule>
    <cfRule type="expression" dxfId="297" priority="71">
      <formula>NOT(_xlfn.ISFORMULA($C$5))</formula>
    </cfRule>
    <cfRule type="expression" dxfId="296" priority="78">
      <formula>NOT(_xlfn.ISFORMULA($E$5))</formula>
    </cfRule>
  </conditionalFormatting>
  <conditionalFormatting sqref="F9">
    <cfRule type="expression" dxfId="295" priority="59">
      <formula>NOT(_xlfn.ISFORMULA($C$9))</formula>
    </cfRule>
    <cfRule type="expression" dxfId="294" priority="63">
      <formula>NOT(_xlfn.ISFORMULA($E$9))</formula>
    </cfRule>
    <cfRule type="expression" dxfId="293" priority="70">
      <formula>NOT(_xlfn.ISFORMULA($C$6))</formula>
    </cfRule>
    <cfRule type="expression" dxfId="292" priority="77">
      <formula>NOT(_xlfn.ISFORMULA($E$6))</formula>
    </cfRule>
  </conditionalFormatting>
  <conditionalFormatting sqref="F10">
    <cfRule type="expression" dxfId="291" priority="58">
      <formula>NOT(_xlfn.ISFORMULA($C$10))</formula>
    </cfRule>
    <cfRule type="expression" dxfId="290" priority="62">
      <formula>NOT(_xlfn.ISFORMULA($E$10))</formula>
    </cfRule>
    <cfRule type="expression" dxfId="289" priority="69">
      <formula>NOT(_xlfn.ISFORMULA($C$7))</formula>
    </cfRule>
    <cfRule type="expression" dxfId="288" priority="76">
      <formula>NOT(_xlfn.ISFORMULA($E$7))</formula>
    </cfRule>
  </conditionalFormatting>
  <conditionalFormatting sqref="F11">
    <cfRule type="expression" dxfId="287" priority="57">
      <formula>NOT(_xlfn.ISFORMULA($C$11))</formula>
    </cfRule>
    <cfRule type="expression" dxfId="286" priority="61">
      <formula>NOT(_xlfn.ISFORMULA($E$11))</formula>
    </cfRule>
    <cfRule type="expression" dxfId="285" priority="68">
      <formula>NOT(_xlfn.ISFORMULA($C$8))</formula>
    </cfRule>
    <cfRule type="expression" dxfId="284" priority="75">
      <formula>NOT(_xlfn.ISFORMULA($E$8))</formula>
    </cfRule>
  </conditionalFormatting>
  <conditionalFormatting sqref="F5">
    <cfRule type="expression" dxfId="283" priority="67">
      <formula>NOT(_xlfn.ISFORMULA($C$5))</formula>
    </cfRule>
    <cfRule type="expression" dxfId="282" priority="74">
      <formula>NOT(_xlfn.ISFORMULA($E$5))</formula>
    </cfRule>
  </conditionalFormatting>
  <conditionalFormatting sqref="F6">
    <cfRule type="expression" dxfId="281" priority="66">
      <formula>NOT(_xlfn.ISFORMULA($C$6))</formula>
    </cfRule>
    <cfRule type="expression" dxfId="280" priority="73">
      <formula>NOT(_xlfn.ISFORMULA($E$6))</formula>
    </cfRule>
  </conditionalFormatting>
  <conditionalFormatting sqref="F7">
    <cfRule type="expression" dxfId="279" priority="65">
      <formula>NOT(_xlfn.ISFORMULA($C$7))</formula>
    </cfRule>
    <cfRule type="expression" dxfId="278" priority="72">
      <formula>NOT(_xlfn.ISFORMULA($E$7))</formula>
    </cfRule>
  </conditionalFormatting>
  <conditionalFormatting sqref="L5">
    <cfRule type="expression" dxfId="277" priority="35">
      <formula>NOT(_xlfn.ISFORMULA($I$5))</formula>
    </cfRule>
    <cfRule type="expression" dxfId="276" priority="42">
      <formula>NOT(_xlfn.ISFORMULA($K$5))</formula>
    </cfRule>
    <cfRule type="expression" dxfId="275" priority="49">
      <formula>NOT(_xlfn.ISFORMULA($C$9))</formula>
    </cfRule>
    <cfRule type="expression" dxfId="274" priority="56">
      <formula>NOT(_xlfn.ISFORMULA($E$9))</formula>
    </cfRule>
  </conditionalFormatting>
  <conditionalFormatting sqref="L6">
    <cfRule type="expression" dxfId="273" priority="34">
      <formula>NOT(_xlfn.ISFORMULA($I$6))</formula>
    </cfRule>
    <cfRule type="expression" dxfId="272" priority="41">
      <formula>NOT(_xlfn.ISFORMULA($K$6))</formula>
    </cfRule>
    <cfRule type="expression" dxfId="271" priority="48">
      <formula>NOT(_xlfn.ISFORMULA($C$10))</formula>
    </cfRule>
    <cfRule type="expression" dxfId="270" priority="55">
      <formula>NOT(_xlfn.ISFORMULA($E$10))</formula>
    </cfRule>
  </conditionalFormatting>
  <conditionalFormatting sqref="L7">
    <cfRule type="expression" dxfId="269" priority="33">
      <formula>NOT(_xlfn.ISFORMULA($I$7))</formula>
    </cfRule>
    <cfRule type="expression" dxfId="268" priority="40">
      <formula>NOT(_xlfn.ISFORMULA($K$7))</formula>
    </cfRule>
    <cfRule type="expression" dxfId="267" priority="47">
      <formula>NOT(_xlfn.ISFORMULA($C$11))</formula>
    </cfRule>
    <cfRule type="expression" dxfId="266" priority="54">
      <formula>NOT(_xlfn.ISFORMULA($E$11))</formula>
    </cfRule>
  </conditionalFormatting>
  <conditionalFormatting sqref="L8">
    <cfRule type="expression" dxfId="265" priority="32">
      <formula>NOT(_xlfn.ISFORMULA($I$8))</formula>
    </cfRule>
    <cfRule type="expression" dxfId="264" priority="39">
      <formula>NOT(_xlfn.ISFORMULA($K$8))</formula>
    </cfRule>
    <cfRule type="expression" dxfId="263" priority="46">
      <formula>NOT(_xlfn.ISFORMULA($I$5))</formula>
    </cfRule>
    <cfRule type="expression" dxfId="262" priority="53">
      <formula>NOT(_xlfn.ISFORMULA($K$5))</formula>
    </cfRule>
  </conditionalFormatting>
  <conditionalFormatting sqref="L9">
    <cfRule type="expression" dxfId="261" priority="31">
      <formula>NOT(_xlfn.ISFORMULA($I$9))</formula>
    </cfRule>
    <cfRule type="expression" dxfId="260" priority="38">
      <formula>NOT(_xlfn.ISFORMULA($K$9))</formula>
    </cfRule>
    <cfRule type="expression" dxfId="259" priority="45">
      <formula>NOT(_xlfn.ISFORMULA($I$6))</formula>
    </cfRule>
    <cfRule type="expression" dxfId="258" priority="52">
      <formula>NOT(_xlfn.ISFORMULA($K$6))</formula>
    </cfRule>
  </conditionalFormatting>
  <conditionalFormatting sqref="L10">
    <cfRule type="expression" dxfId="257" priority="30">
      <formula>NOT(_xlfn.ISFORMULA($I$10))</formula>
    </cfRule>
    <cfRule type="expression" dxfId="256" priority="37">
      <formula>NOT(_xlfn.ISFORMULA($K$10))</formula>
    </cfRule>
    <cfRule type="expression" dxfId="255" priority="44">
      <formula>NOT(_xlfn.ISFORMULA($I$7))</formula>
    </cfRule>
    <cfRule type="expression" dxfId="254" priority="51">
      <formula>NOT(_xlfn.ISFORMULA($K$7))</formula>
    </cfRule>
  </conditionalFormatting>
  <conditionalFormatting sqref="L11">
    <cfRule type="expression" dxfId="253" priority="29">
      <formula>NOT(_xlfn.ISFORMULA($I$11))</formula>
    </cfRule>
    <cfRule type="expression" dxfId="252" priority="36">
      <formula>NOT(_xlfn.ISFORMULA($K$11))</formula>
    </cfRule>
    <cfRule type="expression" dxfId="251" priority="43">
      <formula>NOT(_xlfn.ISFORMULA($I$8))</formula>
    </cfRule>
    <cfRule type="expression" dxfId="250" priority="50">
      <formula>NOT(_xlfn.ISFORMULA($K$8))</formula>
    </cfRule>
  </conditionalFormatting>
  <conditionalFormatting sqref="F17">
    <cfRule type="expression" dxfId="249" priority="4">
      <formula>NOT(_xlfn.ISFORMULA($C$17))</formula>
    </cfRule>
    <cfRule type="expression" dxfId="248" priority="8">
      <formula>NOT(_xlfn.ISFORMULA($E$17))</formula>
    </cfRule>
    <cfRule type="expression" dxfId="247" priority="12">
      <formula>NOT(_xlfn.ISFORMULA($C$14))</formula>
    </cfRule>
    <cfRule type="expression" dxfId="246" priority="16">
      <formula>NOT(_xlfn.ISFORMULA($E$14))</formula>
    </cfRule>
  </conditionalFormatting>
  <conditionalFormatting sqref="F18">
    <cfRule type="expression" dxfId="245" priority="3">
      <formula>NOT(_xlfn.ISFORMULA($C$18))</formula>
    </cfRule>
    <cfRule type="expression" dxfId="244" priority="7">
      <formula>NOT(_xlfn.ISFORMULA($E$18))</formula>
    </cfRule>
    <cfRule type="expression" dxfId="243" priority="11">
      <formula>NOT(_xlfn.ISFORMULA($C$15))</formula>
    </cfRule>
    <cfRule type="expression" dxfId="242" priority="15">
      <formula>NOT(_xlfn.ISFORMULA($E$15))</formula>
    </cfRule>
  </conditionalFormatting>
  <conditionalFormatting sqref="F19">
    <cfRule type="expression" dxfId="241" priority="2">
      <formula>NOT(_xlfn.ISFORMULA($C$19))</formula>
    </cfRule>
    <cfRule type="expression" dxfId="240" priority="6">
      <formula>NOT(_xlfn.ISFORMULA($E$19))</formula>
    </cfRule>
    <cfRule type="expression" dxfId="239" priority="10">
      <formula>NOT(_xlfn.ISFORMULA($C$16))</formula>
    </cfRule>
    <cfRule type="expression" dxfId="238" priority="14">
      <formula>NOT(_xlfn.ISFORMULA($E$16))</formula>
    </cfRule>
  </conditionalFormatting>
  <conditionalFormatting sqref="F20">
    <cfRule type="expression" dxfId="237" priority="1">
      <formula>NOT(_xlfn.ISFORMULA($C$20))</formula>
    </cfRule>
    <cfRule type="expression" dxfId="236" priority="5">
      <formula>NOT(_xlfn.ISFORMULA($E$20))</formula>
    </cfRule>
    <cfRule type="expression" dxfId="235" priority="9">
      <formula>NOT(_xlfn.ISFORMULA($C$17))</formula>
    </cfRule>
    <cfRule type="expression" dxfId="234" priority="13">
      <formula>NOT(_xlfn.ISFORMULA($E$17))</formula>
    </cfRule>
  </conditionalFormatting>
  <conditionalFormatting sqref="F14">
    <cfRule type="expression" dxfId="233" priority="17">
      <formula>NOT(_xlfn.ISFORMULA($C$14))</formula>
    </cfRule>
    <cfRule type="expression" dxfId="232" priority="18">
      <formula>NOT(_xlfn.ISFORMULA($E$14))</formula>
    </cfRule>
    <cfRule type="expression" dxfId="231" priority="19">
      <formula>NOT(_xlfn.ISFORMULA($I$9))</formula>
    </cfRule>
    <cfRule type="expression" dxfId="230" priority="20">
      <formula>NOT(_xlfn.ISFORMULA($K$9))</formula>
    </cfRule>
  </conditionalFormatting>
  <conditionalFormatting sqref="F15">
    <cfRule type="expression" dxfId="229" priority="21">
      <formula>NOT(_xlfn.ISFORMULA($C$15))</formula>
    </cfRule>
    <cfRule type="expression" dxfId="228" priority="22">
      <formula>NOT(_xlfn.ISFORMULA($E$15))</formula>
    </cfRule>
    <cfRule type="expression" dxfId="227" priority="23">
      <formula>NOT(_xlfn.ISFORMULA($I$10))</formula>
    </cfRule>
    <cfRule type="expression" dxfId="226" priority="24">
      <formula>NOT(_xlfn.ISFORMULA($K$10))</formula>
    </cfRule>
  </conditionalFormatting>
  <conditionalFormatting sqref="F16">
    <cfRule type="expression" dxfId="225" priority="25">
      <formula>NOT(_xlfn.ISFORMULA($C$16))</formula>
    </cfRule>
    <cfRule type="expression" dxfId="224" priority="26">
      <formula>NOT(_xlfn.ISFORMULA($E$16))</formula>
    </cfRule>
    <cfRule type="expression" dxfId="223" priority="27">
      <formula>NOT(_xlfn.ISFORMULA($I$11))</formula>
    </cfRule>
    <cfRule type="expression" dxfId="222" priority="28">
      <formula>NOT(_xlfn.ISFORMULA($K$11))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27"/>
  <sheetViews>
    <sheetView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5" bestFit="1" customWidth="1"/>
    <col min="4" max="4" width="17.85546875" style="1" bestFit="1" customWidth="1"/>
    <col min="5" max="5" width="11.28515625" bestFit="1" customWidth="1"/>
    <col min="6" max="6" width="12.140625" bestFit="1" customWidth="1"/>
    <col min="7" max="7" width="12.28515625" bestFit="1" customWidth="1"/>
    <col min="8" max="8" width="13.7109375" bestFit="1" customWidth="1"/>
    <col min="9" max="9" width="12.710937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19" x14ac:dyDescent="0.25">
      <c r="A1" s="20"/>
      <c r="B1" s="52"/>
      <c r="C1" s="20"/>
      <c r="D1" s="21"/>
      <c r="E1" s="20"/>
      <c r="F1" s="20"/>
      <c r="G1" s="20"/>
      <c r="H1" s="20"/>
      <c r="I1" s="21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ht="18.75" x14ac:dyDescent="0.3">
      <c r="A2" s="20"/>
      <c r="B2" s="52"/>
      <c r="C2" s="20"/>
      <c r="D2" s="21"/>
      <c r="E2" s="20"/>
      <c r="F2" s="7" t="s">
        <v>8</v>
      </c>
      <c r="G2" s="5">
        <v>43073</v>
      </c>
      <c r="H2" s="6">
        <f>IF(3&gt;0,$G$2+(3*7-1),)</f>
        <v>43093</v>
      </c>
      <c r="I2" s="21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x14ac:dyDescent="0.25">
      <c r="A3" s="20"/>
      <c r="B3" s="20"/>
      <c r="C3" s="20"/>
      <c r="D3" s="21"/>
      <c r="E3" s="20"/>
      <c r="F3" s="20"/>
      <c r="G3" s="20"/>
      <c r="H3" s="20"/>
      <c r="I3" s="21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28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</row>
    <row r="5" spans="1:19" ht="45" customHeight="1" x14ac:dyDescent="0.25">
      <c r="A5" s="55">
        <f>G2</f>
        <v>43073</v>
      </c>
      <c r="B5" s="4" t="str">
        <f>TEXT(A5,"dddd")</f>
        <v>Monday</v>
      </c>
      <c r="C5" s="2">
        <f>IF(D5=0,0,ROUND(E5/D5,2))</f>
        <v>5.93</v>
      </c>
      <c r="D5" s="2">
        <f>L13</f>
        <v>7.42</v>
      </c>
      <c r="E5" s="32">
        <f>IF(D5=0,0,ROUNDUP((SUM(D5:D11,J5:J11,D14:D20)*H13)/(COUNTIF(D5:D11,"&lt;&gt;0")+COUNTIF(J5:J11,"&lt;&gt;0")+COUNTIF(D14:D20,"&lt;&gt;0")),0))</f>
        <v>44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44</v>
      </c>
      <c r="G5" s="55">
        <f>A11+1</f>
        <v>43080</v>
      </c>
      <c r="H5" s="4" t="str">
        <f>TEXT(G5,"dddd")</f>
        <v>Monday</v>
      </c>
      <c r="I5" s="2">
        <f t="shared" ref="I5:I11" si="0">IF(J5=0,0,ROUND(K5/J5,2))</f>
        <v>5.93</v>
      </c>
      <c r="J5" s="2">
        <f>L13</f>
        <v>7.42</v>
      </c>
      <c r="K5" s="32">
        <f>IF(J5=0,0,ROUNDUP((SUM(D5:D11,J5:J11,D14:D20)*H13)/(COUNTIF(D5:D11,"&lt;&gt;0")+COUNTIF(J5:J11,"&lt;&gt;0")+COUNTIF(D14:D20,"&lt;&gt;0")),0))</f>
        <v>44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44</v>
      </c>
      <c r="M5" s="20"/>
      <c r="N5" s="20"/>
      <c r="O5" s="20"/>
      <c r="P5" s="20"/>
      <c r="Q5" s="20"/>
      <c r="R5" s="20"/>
      <c r="S5" s="20"/>
    </row>
    <row r="6" spans="1:19" x14ac:dyDescent="0.25">
      <c r="A6" s="55">
        <f>A5+1</f>
        <v>43074</v>
      </c>
      <c r="B6" s="4" t="str">
        <f t="shared" ref="B6:B11" si="1">TEXT(A6,"dddd")</f>
        <v>Tuesday</v>
      </c>
      <c r="C6" s="2">
        <f t="shared" ref="C6:C11" si="2">IF(D6=0,0,ROUND(E6/D6,2))</f>
        <v>5.93</v>
      </c>
      <c r="D6" s="3">
        <f>L13</f>
        <v>7.42</v>
      </c>
      <c r="E6" s="33">
        <f>IF(D6=0,0,ROUNDUP((SUM(D5:D11,J5:J11,D14:D20)*H13)/(COUNTIF(D5:D11,"&lt;&gt;0")+COUNTIF(J5:J11,"&lt;&gt;0")+COUNTIF(D14:D20,"&lt;&gt;0")),0))</f>
        <v>44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44</v>
      </c>
      <c r="G6" s="55">
        <f>G5+1</f>
        <v>43081</v>
      </c>
      <c r="H6" s="4" t="str">
        <f t="shared" ref="H6:H11" si="3">TEXT(G6,"dddd")</f>
        <v>Tuesday</v>
      </c>
      <c r="I6" s="2">
        <f t="shared" si="0"/>
        <v>5.93</v>
      </c>
      <c r="J6" s="3">
        <f>L13</f>
        <v>7.42</v>
      </c>
      <c r="K6" s="33">
        <f>IF(J6=0,0,ROUNDUP((SUM(D5:D11,J5:J11,D14:D20)*H13)/(COUNTIF(D5:D11,"&lt;&gt;0")+COUNTIF(J5:J11,"&lt;&gt;0")+COUNTIF(D14:D20,"&lt;&gt;0")),0))</f>
        <v>44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44</v>
      </c>
      <c r="M6" s="20"/>
      <c r="N6" s="20"/>
      <c r="O6" s="20"/>
      <c r="P6" s="20"/>
      <c r="Q6" s="20"/>
      <c r="R6" s="20"/>
      <c r="S6" s="20"/>
    </row>
    <row r="7" spans="1:19" x14ac:dyDescent="0.25">
      <c r="A7" s="55">
        <f t="shared" ref="A7:A11" si="4">A6+1</f>
        <v>43075</v>
      </c>
      <c r="B7" s="4" t="str">
        <f t="shared" si="1"/>
        <v>Wednesday</v>
      </c>
      <c r="C7" s="2">
        <f t="shared" si="2"/>
        <v>5.93</v>
      </c>
      <c r="D7" s="3">
        <f>L13</f>
        <v>7.42</v>
      </c>
      <c r="E7" s="33">
        <f>IF(D7=0,0,ROUNDUP((SUM(D5:D11,J5:J11,D14:D20)*H13)/(COUNTIF(D5:D11,"&lt;&gt;0")+COUNTIF(J5:J11,"&lt;&gt;0")+COUNTIF(D14:D20,"&lt;&gt;0")),0))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44</v>
      </c>
      <c r="G7" s="55">
        <f t="shared" ref="G7:G11" si="5">G6+1</f>
        <v>43082</v>
      </c>
      <c r="H7" s="4" t="str">
        <f t="shared" si="3"/>
        <v>Wednesday</v>
      </c>
      <c r="I7" s="2">
        <f t="shared" si="0"/>
        <v>5.93</v>
      </c>
      <c r="J7" s="3">
        <f>L13</f>
        <v>7.42</v>
      </c>
      <c r="K7" s="33">
        <f>IF(J7=0,0,ROUNDUP((SUM(D5:D11,J5:J11,D14:D20)*H13)/(COUNTIF(D5:D11,"&lt;&gt;0")+COUNTIF(J5:J11,"&lt;&gt;0")+COUNTIF(D14:D20,"&lt;&gt;0")),0))</f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44</v>
      </c>
      <c r="M7" s="20"/>
      <c r="N7" s="20"/>
      <c r="O7" s="20"/>
      <c r="P7" s="20"/>
      <c r="Q7" s="20"/>
      <c r="R7" s="20"/>
      <c r="S7" s="20"/>
    </row>
    <row r="8" spans="1:19" x14ac:dyDescent="0.25">
      <c r="A8" s="55">
        <f t="shared" si="4"/>
        <v>43076</v>
      </c>
      <c r="B8" s="4" t="str">
        <f t="shared" si="1"/>
        <v>Thursday</v>
      </c>
      <c r="C8" s="2">
        <f t="shared" si="2"/>
        <v>5.93</v>
      </c>
      <c r="D8" s="3">
        <f>L13</f>
        <v>7.42</v>
      </c>
      <c r="E8" s="33">
        <f>IF(D8=0,0,ROUNDUP((SUM(D5:D11,J5:J11,D14:D20)*H13)/(COUNTIF(D5:D11,"&lt;&gt;0")+COUNTIF(J5:J11,"&lt;&gt;0")+COUNTIF(D14:D20,"&lt;&gt;0")),0))</f>
        <v>44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44</v>
      </c>
      <c r="G8" s="55">
        <f t="shared" si="5"/>
        <v>43083</v>
      </c>
      <c r="H8" s="4" t="str">
        <f t="shared" si="3"/>
        <v>Thursday</v>
      </c>
      <c r="I8" s="2">
        <f t="shared" si="0"/>
        <v>5.93</v>
      </c>
      <c r="J8" s="3">
        <f>L13</f>
        <v>7.42</v>
      </c>
      <c r="K8" s="33">
        <f>IF(J8=0,0,ROUNDUP((SUM(D5:D11,J5:J11,D14:D20)*H13)/(COUNTIF(D5:D11,"&lt;&gt;0")+COUNTIF(J5:J11,"&lt;&gt;0")+COUNTIF(D14:D20,"&lt;&gt;0")),0))</f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44</v>
      </c>
      <c r="M8" s="20"/>
      <c r="N8" s="20"/>
      <c r="O8" s="20"/>
      <c r="P8" s="20"/>
      <c r="Q8" s="20"/>
      <c r="R8" s="20"/>
      <c r="S8" s="20"/>
    </row>
    <row r="9" spans="1:19" x14ac:dyDescent="0.25">
      <c r="A9" s="55">
        <f t="shared" si="4"/>
        <v>43077</v>
      </c>
      <c r="B9" s="4" t="str">
        <f t="shared" si="1"/>
        <v>Friday</v>
      </c>
      <c r="C9" s="2">
        <f t="shared" si="2"/>
        <v>5.93</v>
      </c>
      <c r="D9" s="3">
        <f>L13</f>
        <v>7.42</v>
      </c>
      <c r="E9" s="33">
        <f>IF(D9=0,0,ROUNDUP((SUM(D5:D11,J5:J11,D14:D20)*H13)/(COUNTIF(D5:D11,"&lt;&gt;0")+COUNTIF(J5:J11,"&lt;&gt;0")+COUNTIF(D14:D20,"&lt;&gt;0")),0))</f>
        <v>44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44</v>
      </c>
      <c r="G9" s="55">
        <f t="shared" si="5"/>
        <v>43084</v>
      </c>
      <c r="H9" s="4" t="str">
        <f t="shared" si="3"/>
        <v>Friday</v>
      </c>
      <c r="I9" s="2">
        <f t="shared" si="0"/>
        <v>5.93</v>
      </c>
      <c r="J9" s="3">
        <f>L13</f>
        <v>7.42</v>
      </c>
      <c r="K9" s="33">
        <f>IF(J9=0,0,ROUNDUP((SUM(D5:D11,J5:J11,D14:D20)*H13)/(COUNTIF(D5:D11,"&lt;&gt;0")+COUNTIF(J5:J11,"&lt;&gt;0")+COUNTIF(D14:D20,"&lt;&gt;0")),0))</f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43</v>
      </c>
      <c r="M9" s="20"/>
      <c r="N9" s="20"/>
      <c r="O9" s="20"/>
      <c r="P9" s="20"/>
      <c r="Q9" s="20"/>
      <c r="R9" s="20"/>
      <c r="S9" s="20"/>
    </row>
    <row r="10" spans="1:19" x14ac:dyDescent="0.25">
      <c r="A10" s="55">
        <f t="shared" si="4"/>
        <v>43078</v>
      </c>
      <c r="B10" s="4" t="str">
        <f t="shared" si="1"/>
        <v>Saturday</v>
      </c>
      <c r="C10" s="2">
        <f t="shared" si="2"/>
        <v>0</v>
      </c>
      <c r="D10" s="3">
        <v>0</v>
      </c>
      <c r="E10" s="33">
        <f>IF(D10=0,0,ROUNDUP((SUM(D5:D11,J5:J11,D14:D20)*H13)/(COUNTIF(D5:D11,"&lt;&gt;0")+COUNTIF(J5:J11,"&lt;&gt;0")+COUNTIF(D14:D20,"&lt;&gt;0")),0))</f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3"/>
        <v>Saturday</v>
      </c>
      <c r="I10" s="2">
        <f t="shared" si="0"/>
        <v>0</v>
      </c>
      <c r="J10" s="3">
        <v>0</v>
      </c>
      <c r="K10" s="33">
        <f>IF(J10=0,0,ROUNDUP((SUM(D5:D11,J5:J11,D14:D20)*H13)/(COUNTIF(D5:D11,"&lt;&gt;0")+COUNTIF(J5:J11,"&lt;&gt;0")+COUNTIF(D14:D20,"&lt;&gt;0")),0))</f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</row>
    <row r="11" spans="1:19" x14ac:dyDescent="0.25">
      <c r="A11" s="55">
        <f t="shared" si="4"/>
        <v>43079</v>
      </c>
      <c r="B11" s="4" t="str">
        <f t="shared" si="1"/>
        <v>Sunday</v>
      </c>
      <c r="C11" s="2">
        <f t="shared" si="2"/>
        <v>0</v>
      </c>
      <c r="D11" s="3">
        <v>0</v>
      </c>
      <c r="E11" s="33">
        <f>IF(D11=0,0,ROUNDUP((SUM(D5:D11,J5:J11,D14:D20)*H13)/(COUNTIF(D5:D11,"&lt;&gt;0")+COUNTIF(J5:J11,"&lt;&gt;0")+COUNTIF(D14:D20,"&lt;&gt;0")),0))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3"/>
        <v>Sunday</v>
      </c>
      <c r="I11" s="2">
        <f t="shared" si="0"/>
        <v>0</v>
      </c>
      <c r="J11" s="3">
        <v>0</v>
      </c>
      <c r="K11" s="33">
        <f>IF(J11=0,0,ROUNDUP((SUM(D5:D11,J5:J11,D14:D20)*H13)/(COUNTIF(D5:D11,"&lt;&gt;0")+COUNTIF(J5:J11,"&lt;&gt;0")+COUNTIF(D14:D20,"&lt;&gt;0")),0))</f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</row>
    <row r="12" spans="1:19" x14ac:dyDescent="0.25">
      <c r="A12" s="20"/>
      <c r="B12" s="19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</row>
    <row r="13" spans="1:19" ht="75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31" t="s">
        <v>15</v>
      </c>
      <c r="H13" s="24">
        <v>5.89</v>
      </c>
      <c r="I13" s="13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</row>
    <row r="14" spans="1:19" ht="18.75" x14ac:dyDescent="0.25">
      <c r="A14" s="55">
        <f>G11+1</f>
        <v>43087</v>
      </c>
      <c r="B14" s="4" t="str">
        <f>TEXT(A14,"dddd")</f>
        <v>Monday</v>
      </c>
      <c r="C14" s="2">
        <f t="shared" ref="C14:C20" si="6">IF(D14=0,0,ROUND(E14/D14,2))</f>
        <v>5.93</v>
      </c>
      <c r="D14" s="2">
        <f>L13</f>
        <v>7.42</v>
      </c>
      <c r="E14" s="32">
        <f>IF(D14=0,0,ROUNDUP((SUM(D5:D11,J5:J11,D14:D20)*H13)/(COUNTIF(D5:D11,"&lt;&gt;0")+COUNTIF(J5:J11,"&lt;&gt;0")+COUNTIF(D14:D20,"&lt;&gt;0")),0))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43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</row>
    <row r="15" spans="1:19" ht="30" x14ac:dyDescent="0.25">
      <c r="A15" s="55">
        <f>A14+1</f>
        <v>43088</v>
      </c>
      <c r="B15" s="4" t="str">
        <f t="shared" ref="B15:B20" si="7">TEXT(A15,"dddd")</f>
        <v>Tuesday</v>
      </c>
      <c r="C15" s="2">
        <f t="shared" si="6"/>
        <v>5.93</v>
      </c>
      <c r="D15" s="3">
        <f>L13</f>
        <v>7.42</v>
      </c>
      <c r="E15" s="33">
        <f>IF(D15=0,0,ROUNDUP((SUM(D5:D11,J5:J11,D14:D20)*H13)/(COUNTIF(D5:D11,"&lt;&gt;0")+COUNTIF(J5:J11,"&lt;&gt;0")+COUNTIF(D14:D20,"&lt;&gt;0")),0))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43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</row>
    <row r="16" spans="1:19" x14ac:dyDescent="0.25">
      <c r="A16" s="55">
        <f t="shared" ref="A16:A20" si="8">A15+1</f>
        <v>43089</v>
      </c>
      <c r="B16" s="4" t="str">
        <f t="shared" si="7"/>
        <v>Wednesday</v>
      </c>
      <c r="C16" s="2">
        <f t="shared" si="6"/>
        <v>5.93</v>
      </c>
      <c r="D16" s="3">
        <f>L13</f>
        <v>7.42</v>
      </c>
      <c r="E16" s="33">
        <f>IF(D16=0,0,ROUNDUP((SUM(D5:D11,J5:J11,D14:D20)*H13)/(COUNTIF(D5:D11,"&lt;&gt;0")+COUNTIF(J5:J11,"&lt;&gt;0")+COUNTIF(D14:D20,"&lt;&gt;0")),0))</f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43</v>
      </c>
      <c r="G16" s="25" t="s">
        <v>1</v>
      </c>
      <c r="H16" s="14">
        <f>AVERAGEIF(C5:C11,"&lt;&gt;0")</f>
        <v>5.93</v>
      </c>
      <c r="I16" s="14">
        <f>SUM(E5:E11)</f>
        <v>220</v>
      </c>
      <c r="J16" s="14">
        <f>SUM(F5:F11)</f>
        <v>220</v>
      </c>
      <c r="K16" s="14">
        <f>I16-J16</f>
        <v>0</v>
      </c>
      <c r="L16" s="14"/>
      <c r="M16" s="20"/>
      <c r="N16" s="20"/>
      <c r="O16" s="20"/>
      <c r="P16" s="20"/>
      <c r="Q16" s="20"/>
      <c r="R16" s="20"/>
      <c r="S16" s="20"/>
    </row>
    <row r="17" spans="1:19" x14ac:dyDescent="0.25">
      <c r="A17" s="55">
        <f t="shared" si="8"/>
        <v>43090</v>
      </c>
      <c r="B17" s="4" t="str">
        <f t="shared" si="7"/>
        <v>Thursday</v>
      </c>
      <c r="C17" s="2">
        <f t="shared" si="6"/>
        <v>5.93</v>
      </c>
      <c r="D17" s="3">
        <f>L13</f>
        <v>7.42</v>
      </c>
      <c r="E17" s="33">
        <f>IF(D17=0,0,ROUNDUP((SUM(D5:D11,J5:J11,D14:D20)*H13)/(COUNTIF(D5:D11,"&lt;&gt;0")+COUNTIF(J5:J11,"&lt;&gt;0")+COUNTIF(D14:D20,"&lt;&gt;0")),0))</f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42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</row>
    <row r="18" spans="1:19" x14ac:dyDescent="0.25">
      <c r="A18" s="55">
        <f t="shared" si="8"/>
        <v>43091</v>
      </c>
      <c r="B18" s="4" t="str">
        <f t="shared" si="7"/>
        <v>Friday</v>
      </c>
      <c r="C18" s="2">
        <f t="shared" si="6"/>
        <v>5.93</v>
      </c>
      <c r="D18" s="3">
        <f>L13</f>
        <v>7.42</v>
      </c>
      <c r="E18" s="33">
        <f>IF(D18=0,0,ROUNDUP((SUM(D5:D11,J5:J11,D14:D20)*H13)/(COUNTIF(D5:D11,"&lt;&gt;0")+COUNTIF(J5:J11,"&lt;&gt;0")+COUNTIF(D14:D20,"&lt;&gt;0")),0))</f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40</v>
      </c>
      <c r="G18" s="26" t="s">
        <v>3</v>
      </c>
      <c r="H18" s="14">
        <f>AVERAGEIF(I5:I11,"&lt;&gt;0")</f>
        <v>5.93</v>
      </c>
      <c r="I18" s="14">
        <f>SUM(K5:K11)</f>
        <v>220</v>
      </c>
      <c r="J18" s="14">
        <f>SUM(L5:L11)</f>
        <v>219</v>
      </c>
      <c r="K18" s="14">
        <f t="shared" ref="K18:K20" si="9">I18-J18</f>
        <v>1</v>
      </c>
      <c r="L18" s="14"/>
      <c r="M18" s="20"/>
      <c r="N18" s="20"/>
      <c r="O18" s="20"/>
      <c r="P18" s="20"/>
      <c r="Q18" s="20"/>
      <c r="R18" s="20"/>
      <c r="S18" s="20"/>
    </row>
    <row r="19" spans="1:19" x14ac:dyDescent="0.25">
      <c r="A19" s="55">
        <f t="shared" si="8"/>
        <v>43092</v>
      </c>
      <c r="B19" s="4" t="str">
        <f t="shared" si="7"/>
        <v>Saturday</v>
      </c>
      <c r="C19" s="2">
        <f t="shared" si="6"/>
        <v>0</v>
      </c>
      <c r="D19" s="3">
        <v>0</v>
      </c>
      <c r="E19" s="33">
        <f>IF(D19=0,0,ROUNDUP((SUM(D5:D11,J5:J11,D14:D20)*H13)/(COUNTIF(D5:D11,"&lt;&gt;0")+COUNTIF(J5:J11,"&lt;&gt;0")+COUNTIF(D14:D20,"&lt;&gt;0")),0))</f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</row>
    <row r="20" spans="1:19" x14ac:dyDescent="0.25">
      <c r="A20" s="55">
        <f t="shared" si="8"/>
        <v>43093</v>
      </c>
      <c r="B20" s="4" t="str">
        <f t="shared" si="7"/>
        <v>Sunday</v>
      </c>
      <c r="C20" s="2">
        <f t="shared" si="6"/>
        <v>0</v>
      </c>
      <c r="D20" s="3">
        <v>0</v>
      </c>
      <c r="E20" s="33">
        <f>IF(D20=0,0,ROUNDUP((SUM(D5:D11,J5:J11,D14:D20)*H13)/(COUNTIF(D5:D11,"&lt;&gt;0")+COUNTIF(J5:J11,"&lt;&gt;0")+COUNTIF(D14:D20,"&lt;&gt;0")),0))</f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5.93</v>
      </c>
      <c r="I20" s="14">
        <f>SUM(E14:E20)</f>
        <v>220</v>
      </c>
      <c r="J20" s="14">
        <f>SUM(F14:F20)</f>
        <v>211</v>
      </c>
      <c r="K20" s="14">
        <f t="shared" si="9"/>
        <v>9</v>
      </c>
      <c r="L20" s="14"/>
      <c r="M20" s="20"/>
      <c r="N20" s="20"/>
      <c r="O20" s="20"/>
      <c r="P20" s="20"/>
      <c r="Q20" s="20"/>
      <c r="R20" s="20"/>
      <c r="S20" s="20"/>
    </row>
    <row r="21" spans="1:19" ht="18.75" x14ac:dyDescent="0.3">
      <c r="A21" s="20"/>
      <c r="B21" s="20"/>
      <c r="C21" s="20"/>
      <c r="D21" s="20"/>
      <c r="E21" s="21"/>
      <c r="F21" s="20"/>
      <c r="G21" s="35" t="s">
        <v>16</v>
      </c>
      <c r="H21" s="36">
        <f>AVERAGE(H16,H18,H20)</f>
        <v>5.93</v>
      </c>
      <c r="I21" s="37">
        <f>I16+I18+I20</f>
        <v>660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</row>
    <row r="22" spans="1:19" x14ac:dyDescent="0.25">
      <c r="A22" s="20"/>
      <c r="B22" s="20"/>
      <c r="C22" s="20"/>
      <c r="D22" s="21"/>
      <c r="E22" s="20"/>
      <c r="F22" s="20"/>
      <c r="G22" s="20"/>
      <c r="H22" s="20"/>
      <c r="I22" s="21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x14ac:dyDescent="0.25">
      <c r="A23" s="20"/>
      <c r="B23" s="20"/>
      <c r="C23" s="20"/>
      <c r="D23" s="21"/>
      <c r="E23" s="20"/>
      <c r="F23" s="20"/>
      <c r="G23" s="20"/>
      <c r="H23" s="20"/>
      <c r="I23" s="21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A24" s="20"/>
      <c r="B24" s="20"/>
      <c r="C24" s="20"/>
      <c r="D24" s="21"/>
      <c r="E24" s="20"/>
      <c r="F24" s="20"/>
      <c r="G24" s="20"/>
      <c r="H24" s="20"/>
      <c r="I24" s="21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A25" s="20"/>
      <c r="B25" s="20"/>
      <c r="C25" s="20"/>
      <c r="D25" s="21"/>
      <c r="E25" s="20"/>
      <c r="F25" s="20"/>
      <c r="G25" s="20"/>
      <c r="H25" s="20"/>
      <c r="I25" s="21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x14ac:dyDescent="0.25">
      <c r="A26" s="20"/>
      <c r="B26" s="20"/>
      <c r="C26" s="20"/>
      <c r="D26" s="21"/>
      <c r="E26" s="20"/>
      <c r="F26" s="20"/>
      <c r="G26" s="20"/>
      <c r="H26" s="20"/>
      <c r="I26" s="21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x14ac:dyDescent="0.25">
      <c r="A27" s="20"/>
      <c r="B27" s="20"/>
      <c r="C27" s="20"/>
      <c r="D27" s="21"/>
      <c r="E27" s="20"/>
      <c r="F27" s="20"/>
      <c r="G27" s="20"/>
      <c r="H27" s="20"/>
      <c r="I27" s="21"/>
      <c r="J27" s="20"/>
      <c r="K27" s="20"/>
      <c r="L27" s="20"/>
      <c r="M27" s="20"/>
      <c r="N27" s="20"/>
      <c r="O27" s="20"/>
      <c r="P27" s="20"/>
      <c r="Q27" s="20"/>
      <c r="R27" s="20"/>
      <c r="S27" s="20"/>
    </row>
  </sheetData>
  <sheetProtection algorithmName="SHA-512" hashValue="J8jTJMJeemp+uvbYtKxG1XTFXq9tTaIfV/sZEAUOpYC6nXyT889AszWapsh//ggSJ7dxMm8b/ajv1Vklzh8DIg==" saltValue="DUEX0Q1QnHZZPvQMRfSS2w==" spinCount="100000" sheet="1" objects="1" scenarios="1"/>
  <conditionalFormatting sqref="K16:K20">
    <cfRule type="iconSet" priority="61">
      <iconSet>
        <cfvo type="percent" val="0"/>
        <cfvo type="num" val="0"/>
        <cfvo type="num" val="0" gte="0"/>
      </iconSet>
    </cfRule>
  </conditionalFormatting>
  <conditionalFormatting sqref="E8">
    <cfRule type="expression" dxfId="221" priority="60">
      <formula>_xlfn.ISFORMULA(E8)</formula>
    </cfRule>
  </conditionalFormatting>
  <conditionalFormatting sqref="E9">
    <cfRule type="expression" dxfId="220" priority="59">
      <formula>_xlfn.ISFORMULA(E9)</formula>
    </cfRule>
  </conditionalFormatting>
  <conditionalFormatting sqref="E10">
    <cfRule type="expression" dxfId="219" priority="58">
      <formula>_xlfn.ISFORMULA(E10)</formula>
    </cfRule>
  </conditionalFormatting>
  <conditionalFormatting sqref="E11">
    <cfRule type="expression" dxfId="218" priority="57">
      <formula>_xlfn.ISFORMULA(E11)</formula>
    </cfRule>
  </conditionalFormatting>
  <conditionalFormatting sqref="K5">
    <cfRule type="expression" dxfId="217" priority="56">
      <formula>_xlfn.ISFORMULA(K5)</formula>
    </cfRule>
  </conditionalFormatting>
  <conditionalFormatting sqref="K6">
    <cfRule type="expression" dxfId="216" priority="55">
      <formula>_xlfn.ISFORMULA(K6)</formula>
    </cfRule>
  </conditionalFormatting>
  <conditionalFormatting sqref="K7">
    <cfRule type="expression" dxfId="215" priority="54">
      <formula>_xlfn.ISFORMULA(K7)</formula>
    </cfRule>
  </conditionalFormatting>
  <conditionalFormatting sqref="K8">
    <cfRule type="expression" dxfId="214" priority="53">
      <formula>_xlfn.ISFORMULA(K8)</formula>
    </cfRule>
  </conditionalFormatting>
  <conditionalFormatting sqref="K9">
    <cfRule type="expression" dxfId="213" priority="52">
      <formula>_xlfn.ISFORMULA(K9)</formula>
    </cfRule>
  </conditionalFormatting>
  <conditionalFormatting sqref="K10">
    <cfRule type="expression" dxfId="212" priority="51">
      <formula>_xlfn.ISFORMULA(K10)</formula>
    </cfRule>
  </conditionalFormatting>
  <conditionalFormatting sqref="K11">
    <cfRule type="expression" dxfId="211" priority="50">
      <formula>_xlfn.ISFORMULA(K11)</formula>
    </cfRule>
  </conditionalFormatting>
  <conditionalFormatting sqref="E14">
    <cfRule type="expression" dxfId="210" priority="49">
      <formula>_xlfn.ISFORMULA(E14)</formula>
    </cfRule>
  </conditionalFormatting>
  <conditionalFormatting sqref="E15">
    <cfRule type="expression" dxfId="209" priority="48">
      <formula>_xlfn.ISFORMULA(E15)</formula>
    </cfRule>
  </conditionalFormatting>
  <conditionalFormatting sqref="E16">
    <cfRule type="expression" dxfId="208" priority="47">
      <formula>_xlfn.ISFORMULA(E16)</formula>
    </cfRule>
  </conditionalFormatting>
  <conditionalFormatting sqref="E17">
    <cfRule type="expression" dxfId="207" priority="46">
      <formula>_xlfn.ISFORMULA(E17)</formula>
    </cfRule>
  </conditionalFormatting>
  <conditionalFormatting sqref="E18">
    <cfRule type="expression" dxfId="206" priority="45">
      <formula>_xlfn.ISFORMULA(E18)</formula>
    </cfRule>
  </conditionalFormatting>
  <conditionalFormatting sqref="E19">
    <cfRule type="expression" dxfId="205" priority="44">
      <formula>_xlfn.ISFORMULA(E19)</formula>
    </cfRule>
  </conditionalFormatting>
  <conditionalFormatting sqref="E20">
    <cfRule type="expression" dxfId="204" priority="43">
      <formula>_xlfn.ISFORMULA(E20)</formula>
    </cfRule>
  </conditionalFormatting>
  <conditionalFormatting sqref="E5">
    <cfRule type="expression" dxfId="203" priority="42">
      <formula>_xlfn.ISFORMULA(E5)</formula>
    </cfRule>
  </conditionalFormatting>
  <conditionalFormatting sqref="E6">
    <cfRule type="expression" dxfId="202" priority="41">
      <formula>_xlfn.ISFORMULA(E6)</formula>
    </cfRule>
  </conditionalFormatting>
  <conditionalFormatting sqref="E7">
    <cfRule type="expression" dxfId="201" priority="40">
      <formula>_xlfn.ISFORMULA(E7)</formula>
    </cfRule>
  </conditionalFormatting>
  <conditionalFormatting sqref="F8">
    <cfRule type="expression" dxfId="200" priority="18">
      <formula>NOT(_xlfn.ISFORMULA($E$8))</formula>
    </cfRule>
    <cfRule type="expression" dxfId="199" priority="39">
      <formula>NOT(_xlfn.ISFORMULA($E$5))</formula>
    </cfRule>
  </conditionalFormatting>
  <conditionalFormatting sqref="F9">
    <cfRule type="expression" dxfId="198" priority="17">
      <formula>NOT(_xlfn.ISFORMULA($E$9))</formula>
    </cfRule>
    <cfRule type="expression" dxfId="197" priority="38">
      <formula>NOT(_xlfn.ISFORMULA($E$6))</formula>
    </cfRule>
  </conditionalFormatting>
  <conditionalFormatting sqref="F10">
    <cfRule type="expression" dxfId="196" priority="16">
      <formula>NOT(_xlfn.ISFORMULA($E$10))</formula>
    </cfRule>
    <cfRule type="expression" dxfId="195" priority="37">
      <formula>NOT(_xlfn.ISFORMULA($E$7))</formula>
    </cfRule>
  </conditionalFormatting>
  <conditionalFormatting sqref="F11">
    <cfRule type="expression" dxfId="194" priority="15">
      <formula>NOT(_xlfn.ISFORMULA($E$11))</formula>
    </cfRule>
    <cfRule type="expression" dxfId="193" priority="36">
      <formula>NOT(_xlfn.ISFORMULA($E$8))</formula>
    </cfRule>
  </conditionalFormatting>
  <conditionalFormatting sqref="L8">
    <cfRule type="expression" dxfId="192" priority="11">
      <formula>NOT(_xlfn.ISFORMULA($K$8))</formula>
    </cfRule>
    <cfRule type="expression" dxfId="191" priority="32">
      <formula>NOT(_xlfn.ISFORMULA($K$5))</formula>
    </cfRule>
  </conditionalFormatting>
  <conditionalFormatting sqref="L9">
    <cfRule type="expression" dxfId="190" priority="10">
      <formula>NOT(_xlfn.ISFORMULA($K$9))</formula>
    </cfRule>
    <cfRule type="expression" dxfId="189" priority="31">
      <formula>NOT(_xlfn.ISFORMULA($K$6))</formula>
    </cfRule>
  </conditionalFormatting>
  <conditionalFormatting sqref="L10">
    <cfRule type="expression" dxfId="188" priority="9">
      <formula>NOT(_xlfn.ISFORMULA($K$10))</formula>
    </cfRule>
    <cfRule type="expression" dxfId="187" priority="30">
      <formula>NOT(_xlfn.ISFORMULA($K$7))</formula>
    </cfRule>
  </conditionalFormatting>
  <conditionalFormatting sqref="L11">
    <cfRule type="expression" dxfId="186" priority="8">
      <formula>NOT(_xlfn.ISFORMULA($K$11))</formula>
    </cfRule>
    <cfRule type="expression" dxfId="185" priority="29">
      <formula>NOT(_xlfn.ISFORMULA($K$8))</formula>
    </cfRule>
  </conditionalFormatting>
  <conditionalFormatting sqref="F17">
    <cfRule type="expression" dxfId="184" priority="4">
      <formula>NOT(_xlfn.ISFORMULA($E$17))</formula>
    </cfRule>
    <cfRule type="expression" dxfId="183" priority="25">
      <formula>NOT(_xlfn.ISFORMULA($E$14))</formula>
    </cfRule>
  </conditionalFormatting>
  <conditionalFormatting sqref="F18">
    <cfRule type="expression" dxfId="182" priority="3">
      <formula>NOT(_xlfn.ISFORMULA($E$18))</formula>
    </cfRule>
    <cfRule type="expression" dxfId="181" priority="24">
      <formula>NOT(_xlfn.ISFORMULA($E$15))</formula>
    </cfRule>
  </conditionalFormatting>
  <conditionalFormatting sqref="F19">
    <cfRule type="expression" dxfId="180" priority="2">
      <formula>NOT(_xlfn.ISFORMULA($E$19))</formula>
    </cfRule>
    <cfRule type="expression" dxfId="179" priority="23">
      <formula>NOT(_xlfn.ISFORMULA($E$16))</formula>
    </cfRule>
  </conditionalFormatting>
  <conditionalFormatting sqref="F20">
    <cfRule type="expression" dxfId="178" priority="1">
      <formula>NOT(_xlfn.ISFORMULA($E$20))</formula>
    </cfRule>
    <cfRule type="expression" dxfId="177" priority="22">
      <formula>NOT(_xlfn.ISFORMULA($E$17))</formula>
    </cfRule>
  </conditionalFormatting>
  <conditionalFormatting sqref="F5">
    <cfRule type="expression" dxfId="176" priority="21">
      <formula>NOT(_xlfn.ISFORMULA($E$5))</formula>
    </cfRule>
  </conditionalFormatting>
  <conditionalFormatting sqref="F6">
    <cfRule type="expression" dxfId="175" priority="20">
      <formula>NOT(_xlfn.ISFORMULA($E$6))</formula>
    </cfRule>
  </conditionalFormatting>
  <conditionalFormatting sqref="F7">
    <cfRule type="expression" dxfId="174" priority="19">
      <formula>NOT(_xlfn.ISFORMULA($E$7))</formula>
    </cfRule>
  </conditionalFormatting>
  <conditionalFormatting sqref="F14">
    <cfRule type="expression" dxfId="173" priority="540">
      <formula>NOT(_xlfn.ISFORMULA($E$14))</formula>
    </cfRule>
    <cfRule type="expression" dxfId="172" priority="541">
      <formula>NOT(_xlfn.ISFORMULA($K$9))</formula>
    </cfRule>
  </conditionalFormatting>
  <conditionalFormatting sqref="F15">
    <cfRule type="expression" dxfId="171" priority="542">
      <formula>NOT(_xlfn.ISFORMULA($E$15))</formula>
    </cfRule>
    <cfRule type="expression" dxfId="170" priority="543">
      <formula>NOT(_xlfn.ISFORMULA($K$10))</formula>
    </cfRule>
  </conditionalFormatting>
  <conditionalFormatting sqref="F16">
    <cfRule type="expression" dxfId="169" priority="544">
      <formula>NOT(_xlfn.ISFORMULA($E$16))</formula>
    </cfRule>
    <cfRule type="expression" dxfId="168" priority="545">
      <formula>NOT(_xlfn.ISFORMULA($K$11))</formula>
    </cfRule>
  </conditionalFormatting>
  <conditionalFormatting sqref="L5">
    <cfRule type="expression" dxfId="167" priority="546">
      <formula>NOT(_xlfn.ISFORMULA($K$5))</formula>
    </cfRule>
    <cfRule type="expression" dxfId="166" priority="547">
      <formula>NOT(_xlfn.ISFORMULA($E$9))</formula>
    </cfRule>
  </conditionalFormatting>
  <conditionalFormatting sqref="L6">
    <cfRule type="expression" dxfId="165" priority="548">
      <formula>NOT(_xlfn.ISFORMULA($K$6))</formula>
    </cfRule>
    <cfRule type="expression" dxfId="164" priority="549">
      <formula>NOT(_xlfn.ISFORMULA($E$10))</formula>
    </cfRule>
  </conditionalFormatting>
  <conditionalFormatting sqref="L7">
    <cfRule type="expression" dxfId="163" priority="550">
      <formula>NOT(_xlfn.ISFORMULA($K$7))</formula>
    </cfRule>
    <cfRule type="expression" dxfId="162" priority="551">
      <formula>NOT(_xlfn.ISFORMULA($E$11))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U38"/>
  <sheetViews>
    <sheetView tabSelected="1" workbookViewId="0">
      <selection activeCell="I8" sqref="I8"/>
    </sheetView>
  </sheetViews>
  <sheetFormatPr defaultRowHeight="15" x14ac:dyDescent="0.25"/>
  <cols>
    <col min="1" max="1" width="11.7109375" customWidth="1"/>
    <col min="2" max="2" width="12.42578125" bestFit="1" customWidth="1"/>
    <col min="3" max="3" width="16.140625" customWidth="1"/>
    <col min="4" max="4" width="17.85546875" style="1" bestFit="1" customWidth="1"/>
    <col min="5" max="5" width="9.28515625" customWidth="1"/>
    <col min="6" max="7" width="13.42578125" customWidth="1"/>
    <col min="8" max="8" width="14.85546875" bestFit="1" customWidth="1"/>
    <col min="9" max="9" width="16.14062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21" ht="15.75" thickBot="1" x14ac:dyDescent="0.3">
      <c r="A1" s="48"/>
      <c r="B1" s="46" t="s">
        <v>17</v>
      </c>
      <c r="C1" s="45"/>
      <c r="D1" s="21"/>
      <c r="E1" s="20"/>
      <c r="F1" s="20"/>
      <c r="G1" s="20"/>
      <c r="H1" s="41"/>
      <c r="I1" s="2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20.25" thickTop="1" thickBot="1" x14ac:dyDescent="0.35">
      <c r="A2" s="48"/>
      <c r="B2" s="44"/>
      <c r="C2" s="47" t="s">
        <v>18</v>
      </c>
      <c r="D2" s="21"/>
      <c r="E2" s="20"/>
      <c r="F2" s="58" t="s">
        <v>8</v>
      </c>
      <c r="G2" s="61">
        <v>43073</v>
      </c>
      <c r="H2" s="69">
        <f>IF(3&gt;0,$G$2+(3*7-1),)</f>
        <v>43093</v>
      </c>
      <c r="I2" s="21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6.5" thickTop="1" thickBot="1" x14ac:dyDescent="0.3">
      <c r="A3" t="s">
        <v>19</v>
      </c>
      <c r="B3" s="51"/>
      <c r="C3" s="50"/>
      <c r="D3" s="49"/>
      <c r="E3" s="20" t="s">
        <v>20</v>
      </c>
      <c r="F3" s="20"/>
      <c r="G3" s="20"/>
      <c r="H3" s="20"/>
      <c r="I3" s="21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57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  <c r="T4" s="20"/>
      <c r="U4" s="20"/>
    </row>
    <row r="5" spans="1:21" ht="45" customHeight="1" x14ac:dyDescent="0.25">
      <c r="A5" s="55">
        <f>G2</f>
        <v>43073</v>
      </c>
      <c r="B5" s="4" t="str">
        <f>TEXT(A5,"dddd")</f>
        <v>Monday</v>
      </c>
      <c r="C5" s="53">
        <v>6.2</v>
      </c>
      <c r="D5">
        <f>L13</f>
        <v>7.42</v>
      </c>
      <c r="E5" s="54">
        <f>IF(D5=0,0,ROUNDUP((C5*D5),0))</f>
        <v>47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46</v>
      </c>
      <c r="G5" s="55">
        <f>A11+1</f>
        <v>43080</v>
      </c>
      <c r="H5" s="4" t="str">
        <f>TEXT(G5,"dddd")</f>
        <v>Monday</v>
      </c>
      <c r="I5" s="53">
        <v>8</v>
      </c>
      <c r="J5" s="2">
        <f>L13</f>
        <v>7.42</v>
      </c>
      <c r="K5" s="54">
        <f>IF(I5=0,0,ROUNDUP((I5*J5),0))</f>
        <v>60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46</v>
      </c>
      <c r="M5" s="20"/>
      <c r="N5" s="20"/>
      <c r="O5" s="20"/>
      <c r="P5" s="20"/>
      <c r="Q5" s="20"/>
      <c r="R5" s="20"/>
      <c r="S5" s="20"/>
      <c r="T5" s="20"/>
      <c r="U5" s="20"/>
    </row>
    <row r="6" spans="1:21" x14ac:dyDescent="0.25">
      <c r="A6" s="55">
        <f>A5+1</f>
        <v>43074</v>
      </c>
      <c r="B6" s="4" t="str">
        <f t="shared" ref="B6:B11" si="0">TEXT(A6,"dddd")</f>
        <v>Tuesday</v>
      </c>
      <c r="C6" s="53">
        <v>6</v>
      </c>
      <c r="D6">
        <f>L13</f>
        <v>7.42</v>
      </c>
      <c r="E6" s="54">
        <f>IF(D6=0,0,ROUNDUP((C6*D6),0))</f>
        <v>45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46</v>
      </c>
      <c r="G6" s="55">
        <f>G5+1</f>
        <v>43081</v>
      </c>
      <c r="H6" s="4" t="str">
        <f t="shared" ref="H6:H11" si="1">TEXT(G6,"dddd")</f>
        <v>Tuesday</v>
      </c>
      <c r="I6" s="53">
        <v>2</v>
      </c>
      <c r="J6" s="3">
        <f>L13</f>
        <v>7.42</v>
      </c>
      <c r="K6" s="54">
        <f t="shared" ref="K6:K11" si="2">IF(I6=0,0,ROUNDUP((I6*J6),0))</f>
        <v>15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46</v>
      </c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25">
      <c r="A7" s="55">
        <f t="shared" ref="A7:A11" si="3">A6+1</f>
        <v>43075</v>
      </c>
      <c r="B7" s="4" t="str">
        <f t="shared" si="0"/>
        <v>Wednesday</v>
      </c>
      <c r="C7" s="53">
        <v>5.8</v>
      </c>
      <c r="D7">
        <f>L13</f>
        <v>7.42</v>
      </c>
      <c r="E7" s="54">
        <f t="shared" ref="E7:E10" si="4">IF(D7=0,0,ROUNDUP((C7*D7),0))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46</v>
      </c>
      <c r="G7" s="55">
        <f t="shared" ref="G7:G11" si="5">G6+1</f>
        <v>43082</v>
      </c>
      <c r="H7" s="4" t="str">
        <f t="shared" si="1"/>
        <v>Wednesday</v>
      </c>
      <c r="I7" s="53">
        <v>6</v>
      </c>
      <c r="J7" s="3">
        <f>L13</f>
        <v>7.42</v>
      </c>
      <c r="K7" s="54">
        <f t="shared" si="2"/>
        <v>45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47</v>
      </c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25">
      <c r="A8" s="55">
        <f t="shared" si="3"/>
        <v>43076</v>
      </c>
      <c r="B8" s="4" t="str">
        <f t="shared" si="0"/>
        <v>Thursday</v>
      </c>
      <c r="C8" s="53">
        <v>5</v>
      </c>
      <c r="D8">
        <f>L13</f>
        <v>7.42</v>
      </c>
      <c r="E8" s="54">
        <f t="shared" si="4"/>
        <v>38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46</v>
      </c>
      <c r="G8" s="55">
        <f t="shared" si="5"/>
        <v>43083</v>
      </c>
      <c r="H8" s="4" t="str">
        <f t="shared" si="1"/>
        <v>Thursday</v>
      </c>
      <c r="I8" s="53">
        <f>IF(J8=0,0,H13)</f>
        <v>5.89</v>
      </c>
      <c r="J8" s="3">
        <f>L13</f>
        <v>7.42</v>
      </c>
      <c r="K8" s="54">
        <f t="shared" si="2"/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47</v>
      </c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25">
      <c r="A9" s="55">
        <f t="shared" si="3"/>
        <v>43077</v>
      </c>
      <c r="B9" s="4" t="str">
        <f t="shared" si="0"/>
        <v>Friday</v>
      </c>
      <c r="C9" s="53">
        <v>4</v>
      </c>
      <c r="D9">
        <f>L13</f>
        <v>7.42</v>
      </c>
      <c r="E9" s="54">
        <f t="shared" si="4"/>
        <v>30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46</v>
      </c>
      <c r="G9" s="55">
        <f t="shared" si="5"/>
        <v>43084</v>
      </c>
      <c r="H9" s="4" t="str">
        <f t="shared" si="1"/>
        <v>Friday</v>
      </c>
      <c r="I9" s="53">
        <f>IF(J9=0,0,H13)</f>
        <v>5.89</v>
      </c>
      <c r="J9" s="3">
        <f>L13</f>
        <v>7.42</v>
      </c>
      <c r="K9" s="54">
        <f t="shared" si="2"/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47</v>
      </c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25">
      <c r="A10" s="55">
        <f t="shared" si="3"/>
        <v>43078</v>
      </c>
      <c r="B10" s="4" t="str">
        <f t="shared" si="0"/>
        <v>Saturday</v>
      </c>
      <c r="C10" s="53">
        <v>0</v>
      </c>
      <c r="D10">
        <v>0</v>
      </c>
      <c r="E10" s="54">
        <f t="shared" si="4"/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1"/>
        <v>Saturday</v>
      </c>
      <c r="I10" s="53">
        <f>IF(J10=0,0,H13)</f>
        <v>5.89</v>
      </c>
      <c r="J10" s="3">
        <v>7.42</v>
      </c>
      <c r="K10" s="54">
        <f t="shared" si="2"/>
        <v>44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47</v>
      </c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25">
      <c r="A11" s="55">
        <f t="shared" si="3"/>
        <v>43079</v>
      </c>
      <c r="B11" s="4" t="str">
        <f t="shared" si="0"/>
        <v>Sunday</v>
      </c>
      <c r="C11" s="53">
        <v>0</v>
      </c>
      <c r="D11">
        <v>0</v>
      </c>
      <c r="E11" s="54">
        <f>IF(D11=0,0,ROUNDUP((C11*D11),0))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1"/>
        <v>Sunday</v>
      </c>
      <c r="I11" s="53">
        <f>IF(J11=0,0,H13)</f>
        <v>5.89</v>
      </c>
      <c r="J11" s="3">
        <v>7.42</v>
      </c>
      <c r="K11" s="54">
        <f t="shared" si="2"/>
        <v>44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48</v>
      </c>
      <c r="M11" s="20"/>
      <c r="N11" s="20"/>
      <c r="O11" s="20"/>
      <c r="P11" s="20"/>
      <c r="Q11" s="20"/>
      <c r="R11" s="20"/>
      <c r="S11" s="20"/>
      <c r="T11" s="20"/>
      <c r="U11" s="20"/>
    </row>
    <row r="12" spans="1:21" x14ac:dyDescent="0.25">
      <c r="A12" s="21"/>
      <c r="B12" s="64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ht="60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59" t="s">
        <v>15</v>
      </c>
      <c r="H13" s="62">
        <v>5.89</v>
      </c>
      <c r="I13" s="60" t="s">
        <v>10</v>
      </c>
      <c r="J13" s="12">
        <f>ROUNDUP((SUM(D5:D11,J5:J11,D14:D20)*H13),0)</f>
        <v>743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8.75" x14ac:dyDescent="0.25">
      <c r="A14" s="55">
        <f>G11+1</f>
        <v>43087</v>
      </c>
      <c r="B14" s="56" t="str">
        <f>TEXT(A14,"dddd")</f>
        <v>Monday</v>
      </c>
      <c r="C14" s="53">
        <f>IF(D14=0,0,H13)</f>
        <v>5.89</v>
      </c>
      <c r="D14">
        <f>L13</f>
        <v>7.42</v>
      </c>
      <c r="E14" s="54">
        <f>IF(D14=0,0,ROUNDUP((C14*D14),0))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49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30" x14ac:dyDescent="0.25">
      <c r="A15" s="55">
        <f>A14+1</f>
        <v>43088</v>
      </c>
      <c r="B15" s="4" t="str">
        <f t="shared" ref="B15:B20" si="6">TEXT(A15,"dddd")</f>
        <v>Tuesday</v>
      </c>
      <c r="C15" s="53">
        <f>IF(D15=0,0,H13)</f>
        <v>5.89</v>
      </c>
      <c r="D15">
        <f>L13</f>
        <v>7.42</v>
      </c>
      <c r="E15" s="54">
        <f t="shared" ref="E15:E20" si="7">IF(D15=0,0,ROUNDUP((C15*D15),0))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50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  <c r="T15" s="20"/>
      <c r="U15" s="20"/>
    </row>
    <row r="16" spans="1:21" x14ac:dyDescent="0.25">
      <c r="A16" s="55">
        <f t="shared" ref="A16:A20" si="8">A15+1</f>
        <v>43089</v>
      </c>
      <c r="B16" s="4" t="str">
        <f t="shared" si="6"/>
        <v>Wednesday</v>
      </c>
      <c r="C16" s="53">
        <f>IF(D16=0,0,H13)</f>
        <v>5.89</v>
      </c>
      <c r="D16">
        <f>L13</f>
        <v>7.42</v>
      </c>
      <c r="E16" s="54">
        <f t="shared" si="7"/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52</v>
      </c>
      <c r="G16" s="25" t="s">
        <v>1</v>
      </c>
      <c r="H16" s="14">
        <f>AVERAGEIF(C5:C11,"&lt;&gt;0")</f>
        <v>5.4</v>
      </c>
      <c r="I16" s="14">
        <f>SUM(E5:E11)</f>
        <v>204</v>
      </c>
      <c r="J16" s="14">
        <f>SUM(F5:F11)</f>
        <v>230</v>
      </c>
      <c r="K16" s="14">
        <f>I16-J16</f>
        <v>-26</v>
      </c>
      <c r="L16" s="14"/>
      <c r="M16" s="20"/>
      <c r="N16" s="20"/>
      <c r="O16" s="20"/>
      <c r="P16" s="20" t="s">
        <v>21</v>
      </c>
      <c r="Q16" s="20"/>
      <c r="R16" s="20"/>
      <c r="S16" s="20"/>
      <c r="T16" s="20"/>
      <c r="U16" s="20"/>
    </row>
    <row r="17" spans="1:21" x14ac:dyDescent="0.25">
      <c r="A17" s="55">
        <f t="shared" si="8"/>
        <v>43090</v>
      </c>
      <c r="B17" s="4" t="str">
        <f t="shared" si="6"/>
        <v>Thursday</v>
      </c>
      <c r="C17" s="53">
        <f>IF(D17=0,0,H13)</f>
        <v>5.89</v>
      </c>
      <c r="D17">
        <f>L13</f>
        <v>7.42</v>
      </c>
      <c r="E17" s="54">
        <f t="shared" si="7"/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56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55">
        <f t="shared" si="8"/>
        <v>43091</v>
      </c>
      <c r="B18" s="4" t="str">
        <f t="shared" si="6"/>
        <v>Friday</v>
      </c>
      <c r="C18" s="53">
        <f>IF(D18=0,0,H13)</f>
        <v>5.89</v>
      </c>
      <c r="D18">
        <f>L13</f>
        <v>7.42</v>
      </c>
      <c r="E18" s="54">
        <f t="shared" si="7"/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67</v>
      </c>
      <c r="G18" s="26" t="s">
        <v>3</v>
      </c>
      <c r="H18" s="14">
        <f>AVERAGEIF(I5:I11,"&lt;&gt;0")</f>
        <v>5.6514285714285721</v>
      </c>
      <c r="I18" s="14">
        <f>SUM(K5:K11)</f>
        <v>296</v>
      </c>
      <c r="J18" s="14">
        <f>SUM(L5:L11)</f>
        <v>328</v>
      </c>
      <c r="K18" s="14">
        <f t="shared" ref="K18:K20" si="9">I18-J18</f>
        <v>-32</v>
      </c>
      <c r="L18" s="14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55">
        <f t="shared" si="8"/>
        <v>43092</v>
      </c>
      <c r="B19" s="4" t="str">
        <f t="shared" si="6"/>
        <v>Saturday</v>
      </c>
      <c r="C19" s="53">
        <f>IF(D19=0,0,H13)</f>
        <v>0</v>
      </c>
      <c r="D19">
        <v>0</v>
      </c>
      <c r="E19" s="54">
        <f t="shared" si="7"/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55">
        <f t="shared" si="8"/>
        <v>43093</v>
      </c>
      <c r="B20" s="4" t="str">
        <f t="shared" si="6"/>
        <v>Sunday</v>
      </c>
      <c r="C20" s="53">
        <f>IF(D20=0,0,H13)</f>
        <v>0</v>
      </c>
      <c r="D20">
        <v>0</v>
      </c>
      <c r="E20" s="54">
        <f t="shared" si="7"/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5.89</v>
      </c>
      <c r="I20" s="14">
        <f>SUM(E14:E20)</f>
        <v>220</v>
      </c>
      <c r="J20" s="14">
        <f>SUM(F14:F20)</f>
        <v>274</v>
      </c>
      <c r="K20" s="14">
        <f t="shared" si="9"/>
        <v>-54</v>
      </c>
      <c r="L20" s="14"/>
      <c r="M20" s="20"/>
      <c r="N20" s="20"/>
      <c r="O20" s="20"/>
      <c r="P20" s="20"/>
      <c r="Q20" s="20"/>
      <c r="R20" s="20"/>
      <c r="S20" s="20"/>
      <c r="T20" s="20"/>
      <c r="U20" s="20"/>
    </row>
    <row r="21" spans="1:21" ht="18.75" x14ac:dyDescent="0.3">
      <c r="A21" s="20"/>
      <c r="B21" s="20"/>
      <c r="C21" s="20"/>
      <c r="D21" s="20"/>
      <c r="E21" s="63"/>
      <c r="F21" s="20"/>
      <c r="G21" s="35" t="s">
        <v>16</v>
      </c>
      <c r="H21" s="36">
        <f>SUM(E5:E11,K5:K11,E14:E20)/SUM(D5:D11,J5:J11,D14:D20)</f>
        <v>5.7079435547804023</v>
      </c>
      <c r="I21" s="37">
        <f>SUM(E5:E11,K5:K11,E14:E20)</f>
        <v>720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20"/>
      <c r="B22" s="20"/>
      <c r="C22" s="20"/>
      <c r="D22" s="21"/>
      <c r="E22" s="20"/>
      <c r="F22" s="20"/>
      <c r="G22" s="20"/>
      <c r="H22" s="20"/>
      <c r="I22" s="21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20"/>
      <c r="B23" s="20"/>
      <c r="C23" s="20"/>
      <c r="D23" s="21"/>
      <c r="E23" s="20"/>
      <c r="F23" s="20"/>
      <c r="G23" s="20"/>
      <c r="H23" s="20"/>
      <c r="I23" s="21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20"/>
      <c r="B24" s="20"/>
      <c r="C24" s="20"/>
      <c r="D24" s="21"/>
      <c r="E24" s="20"/>
      <c r="F24" s="20"/>
      <c r="G24" s="20"/>
      <c r="H24" s="20"/>
      <c r="I24" s="21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65"/>
      <c r="B25" s="66"/>
      <c r="C25" s="65"/>
      <c r="D25" s="66"/>
      <c r="E25" s="20"/>
      <c r="F25" s="20"/>
      <c r="G25" s="20"/>
      <c r="H25" s="20"/>
      <c r="I25" s="21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65"/>
      <c r="B26" s="66"/>
      <c r="C26" s="65"/>
      <c r="D26" s="66"/>
      <c r="E26" s="20"/>
      <c r="F26" s="20"/>
      <c r="G26" s="20"/>
      <c r="H26" s="20"/>
      <c r="I26" s="21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65"/>
      <c r="B27" s="66"/>
      <c r="C27" s="65"/>
      <c r="D27" s="65"/>
      <c r="E27" s="20"/>
      <c r="F27" s="20"/>
      <c r="G27" s="20"/>
      <c r="H27" s="20"/>
      <c r="I27" s="21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6.5" x14ac:dyDescent="0.35">
      <c r="A28" s="65"/>
      <c r="B28" s="20"/>
      <c r="C28" s="65"/>
      <c r="D28" s="68"/>
      <c r="E28" s="20"/>
      <c r="F28" s="20"/>
      <c r="G28" s="20"/>
      <c r="H28" s="20"/>
      <c r="I28" s="21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65"/>
      <c r="B29" s="20"/>
      <c r="C29" s="65"/>
      <c r="D29" s="21"/>
      <c r="E29" s="20"/>
      <c r="F29" s="20"/>
      <c r="G29" s="20"/>
      <c r="H29" s="20"/>
      <c r="I29" s="21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65"/>
      <c r="B30" s="20"/>
      <c r="C30" s="65"/>
      <c r="D30" s="21"/>
      <c r="E30" s="20"/>
      <c r="F30" s="20"/>
      <c r="G30" s="20"/>
      <c r="H30" s="20"/>
      <c r="I30" s="21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65"/>
      <c r="B31" s="20"/>
      <c r="C31" s="67"/>
      <c r="D31" s="21"/>
      <c r="E31" s="20"/>
      <c r="F31" s="20"/>
      <c r="G31" s="20"/>
      <c r="H31" s="20"/>
      <c r="I31" s="21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65"/>
      <c r="B32" s="20"/>
      <c r="C32" s="65"/>
      <c r="D32" s="21"/>
      <c r="E32" s="20"/>
      <c r="F32" s="20"/>
      <c r="G32" s="20"/>
      <c r="H32" s="20"/>
      <c r="I32" s="21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65"/>
      <c r="B33" s="20"/>
      <c r="C33" s="65"/>
      <c r="D33" s="21"/>
      <c r="E33" s="20"/>
      <c r="F33" s="20"/>
      <c r="G33" s="20"/>
      <c r="H33" s="20"/>
      <c r="I33" s="21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20"/>
      <c r="B34" s="20"/>
      <c r="C34" s="65"/>
      <c r="D34" s="21"/>
      <c r="E34" s="20"/>
      <c r="F34" s="20"/>
      <c r="G34" s="20"/>
      <c r="H34" s="20"/>
      <c r="I34" s="21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20"/>
      <c r="B35" s="20"/>
      <c r="C35" s="65"/>
      <c r="D35" s="21"/>
      <c r="E35" s="20"/>
      <c r="F35" s="20"/>
      <c r="G35" s="20"/>
      <c r="H35" s="20"/>
      <c r="I35" s="21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0"/>
      <c r="B36" s="20"/>
      <c r="C36" s="20"/>
      <c r="D36" s="21"/>
      <c r="E36" s="20"/>
      <c r="F36" s="20"/>
      <c r="G36" s="20"/>
      <c r="H36" s="20"/>
      <c r="I36" s="21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20"/>
      <c r="B37" s="20"/>
      <c r="C37" s="20"/>
      <c r="D37" s="21"/>
      <c r="E37" s="20"/>
      <c r="F37" s="20"/>
      <c r="G37" s="20"/>
      <c r="H37" s="20"/>
      <c r="I37" s="21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20"/>
      <c r="B38" s="20"/>
      <c r="C38" s="20"/>
      <c r="D38" s="21"/>
      <c r="E38" s="20"/>
      <c r="F38" s="20"/>
      <c r="G38" s="20"/>
      <c r="H38" s="20"/>
      <c r="I38" s="21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</sheetData>
  <conditionalFormatting sqref="K16:K20">
    <cfRule type="iconSet" priority="631">
      <iconSet>
        <cfvo type="percent" val="0"/>
        <cfvo type="num" val="0"/>
        <cfvo type="num" val="0" gte="0"/>
      </iconSet>
    </cfRule>
  </conditionalFormatting>
  <conditionalFormatting sqref="F8">
    <cfRule type="expression" dxfId="161" priority="354">
      <formula>NOT(_xlfn.ISFORMULA($C$8))</formula>
    </cfRule>
    <cfRule type="expression" dxfId="160" priority="358">
      <formula>NOT(_xlfn.ISFORMULA($E$8))</formula>
    </cfRule>
    <cfRule type="expression" dxfId="159" priority="365">
      <formula>NOT(_xlfn.ISFORMULA($C$5))</formula>
    </cfRule>
    <cfRule type="expression" dxfId="158" priority="372">
      <formula>NOT(_xlfn.ISFORMULA($E$5))</formula>
    </cfRule>
  </conditionalFormatting>
  <conditionalFormatting sqref="F9">
    <cfRule type="expression" dxfId="157" priority="353">
      <formula>NOT(_xlfn.ISFORMULA($C$9))</formula>
    </cfRule>
    <cfRule type="expression" dxfId="156" priority="357">
      <formula>NOT(_xlfn.ISFORMULA($E$9))</formula>
    </cfRule>
    <cfRule type="expression" dxfId="155" priority="364">
      <formula>NOT(_xlfn.ISFORMULA($C$6))</formula>
    </cfRule>
    <cfRule type="expression" dxfId="154" priority="371">
      <formula>NOT(_xlfn.ISFORMULA($E$6))</formula>
    </cfRule>
  </conditionalFormatting>
  <conditionalFormatting sqref="F10">
    <cfRule type="expression" dxfId="153" priority="352">
      <formula>NOT(_xlfn.ISFORMULA($C$10))</formula>
    </cfRule>
    <cfRule type="expression" dxfId="152" priority="356">
      <formula>NOT(_xlfn.ISFORMULA($E$10))</formula>
    </cfRule>
    <cfRule type="expression" dxfId="151" priority="363">
      <formula>NOT(_xlfn.ISFORMULA($C$7))</formula>
    </cfRule>
    <cfRule type="expression" dxfId="150" priority="370">
      <formula>NOT(_xlfn.ISFORMULA($E$7))</formula>
    </cfRule>
  </conditionalFormatting>
  <conditionalFormatting sqref="F11">
    <cfRule type="expression" dxfId="149" priority="351">
      <formula>NOT(_xlfn.ISFORMULA($C$11))</formula>
    </cfRule>
    <cfRule type="expression" dxfId="148" priority="355">
      <formula>NOT(_xlfn.ISFORMULA($E$11))</formula>
    </cfRule>
    <cfRule type="expression" dxfId="147" priority="362">
      <formula>NOT(_xlfn.ISFORMULA($C$8))</formula>
    </cfRule>
    <cfRule type="expression" dxfId="146" priority="369">
      <formula>NOT(_xlfn.ISFORMULA($E$8))</formula>
    </cfRule>
  </conditionalFormatting>
  <conditionalFormatting sqref="F5">
    <cfRule type="expression" dxfId="145" priority="361">
      <formula>NOT(_xlfn.ISFORMULA($C$5))</formula>
    </cfRule>
    <cfRule type="expression" dxfId="144" priority="368">
      <formula>NOT(_xlfn.ISFORMULA($E$5))</formula>
    </cfRule>
  </conditionalFormatting>
  <conditionalFormatting sqref="F6">
    <cfRule type="expression" dxfId="143" priority="360">
      <formula>NOT(_xlfn.ISFORMULA($C$6))</formula>
    </cfRule>
    <cfRule type="expression" dxfId="142" priority="367">
      <formula>NOT(_xlfn.ISFORMULA($E$6))</formula>
    </cfRule>
  </conditionalFormatting>
  <conditionalFormatting sqref="F7">
    <cfRule type="expression" dxfId="141" priority="359">
      <formula>NOT(_xlfn.ISFORMULA($C$7))</formula>
    </cfRule>
    <cfRule type="expression" dxfId="140" priority="366">
      <formula>NOT(_xlfn.ISFORMULA($E$7))</formula>
    </cfRule>
  </conditionalFormatting>
  <conditionalFormatting sqref="L5">
    <cfRule type="expression" dxfId="139" priority="329">
      <formula>NOT(_xlfn.ISFORMULA($I$5))</formula>
    </cfRule>
    <cfRule type="expression" dxfId="138" priority="336">
      <formula>NOT(_xlfn.ISFORMULA($K$5))</formula>
    </cfRule>
    <cfRule type="expression" dxfId="137" priority="343">
      <formula>NOT(_xlfn.ISFORMULA($C$9))</formula>
    </cfRule>
    <cfRule type="expression" dxfId="136" priority="350">
      <formula>NOT(_xlfn.ISFORMULA($E$9))</formula>
    </cfRule>
  </conditionalFormatting>
  <conditionalFormatting sqref="L6">
    <cfRule type="expression" dxfId="135" priority="328">
      <formula>NOT(_xlfn.ISFORMULA($I$6))</formula>
    </cfRule>
    <cfRule type="expression" dxfId="134" priority="335">
      <formula>NOT(_xlfn.ISFORMULA($K$6))</formula>
    </cfRule>
    <cfRule type="expression" dxfId="133" priority="342">
      <formula>NOT(_xlfn.ISFORMULA($C$10))</formula>
    </cfRule>
    <cfRule type="expression" dxfId="132" priority="349">
      <formula>NOT(_xlfn.ISFORMULA($E$10))</formula>
    </cfRule>
  </conditionalFormatting>
  <conditionalFormatting sqref="L7">
    <cfRule type="expression" dxfId="131" priority="327">
      <formula>NOT(_xlfn.ISFORMULA($I$7))</formula>
    </cfRule>
    <cfRule type="expression" dxfId="130" priority="334">
      <formula>NOT(_xlfn.ISFORMULA($K$7))</formula>
    </cfRule>
    <cfRule type="expression" dxfId="129" priority="341">
      <formula>NOT(_xlfn.ISFORMULA($C$11))</formula>
    </cfRule>
    <cfRule type="expression" dxfId="128" priority="348">
      <formula>NOT(_xlfn.ISFORMULA($E$11))</formula>
    </cfRule>
  </conditionalFormatting>
  <conditionalFormatting sqref="L8">
    <cfRule type="expression" dxfId="127" priority="326">
      <formula>NOT(_xlfn.ISFORMULA($I$8))</formula>
    </cfRule>
    <cfRule type="expression" dxfId="126" priority="333">
      <formula>NOT(_xlfn.ISFORMULA($K$8))</formula>
    </cfRule>
    <cfRule type="expression" dxfId="125" priority="340">
      <formula>NOT(_xlfn.ISFORMULA($I$5))</formula>
    </cfRule>
    <cfRule type="expression" dxfId="124" priority="347">
      <formula>NOT(_xlfn.ISFORMULA($K$5))</formula>
    </cfRule>
  </conditionalFormatting>
  <conditionalFormatting sqref="L9">
    <cfRule type="expression" dxfId="123" priority="325">
      <formula>NOT(_xlfn.ISFORMULA($I$9))</formula>
    </cfRule>
    <cfRule type="expression" dxfId="122" priority="332">
      <formula>NOT(_xlfn.ISFORMULA($K$9))</formula>
    </cfRule>
    <cfRule type="expression" dxfId="121" priority="339">
      <formula>NOT(_xlfn.ISFORMULA($I$6))</formula>
    </cfRule>
    <cfRule type="expression" dxfId="120" priority="346">
      <formula>NOT(_xlfn.ISFORMULA($K$6))</formula>
    </cfRule>
  </conditionalFormatting>
  <conditionalFormatting sqref="L10">
    <cfRule type="expression" dxfId="119" priority="324">
      <formula>NOT(_xlfn.ISFORMULA($I$10))</formula>
    </cfRule>
    <cfRule type="expression" dxfId="118" priority="331">
      <formula>NOT(_xlfn.ISFORMULA($K$10))</formula>
    </cfRule>
    <cfRule type="expression" dxfId="117" priority="338">
      <formula>NOT(_xlfn.ISFORMULA($I$7))</formula>
    </cfRule>
    <cfRule type="expression" dxfId="116" priority="345">
      <formula>NOT(_xlfn.ISFORMULA($K$7))</formula>
    </cfRule>
  </conditionalFormatting>
  <conditionalFormatting sqref="L11">
    <cfRule type="expression" dxfId="115" priority="323">
      <formula>NOT(_xlfn.ISFORMULA($I$11))</formula>
    </cfRule>
    <cfRule type="expression" dxfId="114" priority="330">
      <formula>NOT(_xlfn.ISFORMULA($K$11))</formula>
    </cfRule>
    <cfRule type="expression" dxfId="113" priority="337">
      <formula>NOT(_xlfn.ISFORMULA($I$8))</formula>
    </cfRule>
    <cfRule type="expression" dxfId="112" priority="344">
      <formula>NOT(_xlfn.ISFORMULA($K$8))</formula>
    </cfRule>
  </conditionalFormatting>
  <conditionalFormatting sqref="F17">
    <cfRule type="expression" dxfId="111" priority="298">
      <formula>NOT(_xlfn.ISFORMULA($C$17))</formula>
    </cfRule>
    <cfRule type="expression" dxfId="110" priority="302">
      <formula>NOT(_xlfn.ISFORMULA($E$17))</formula>
    </cfRule>
    <cfRule type="expression" dxfId="109" priority="306">
      <formula>NOT(_xlfn.ISFORMULA($C$14))</formula>
    </cfRule>
    <cfRule type="expression" dxfId="108" priority="310">
      <formula>NOT(_xlfn.ISFORMULA($E$14))</formula>
    </cfRule>
  </conditionalFormatting>
  <conditionalFormatting sqref="F18">
    <cfRule type="expression" dxfId="107" priority="297">
      <formula>NOT(_xlfn.ISFORMULA($C$18))</formula>
    </cfRule>
    <cfRule type="expression" dxfId="106" priority="301">
      <formula>NOT(_xlfn.ISFORMULA($E$18))</formula>
    </cfRule>
    <cfRule type="expression" dxfId="105" priority="305">
      <formula>NOT(_xlfn.ISFORMULA($C$15))</formula>
    </cfRule>
    <cfRule type="expression" dxfId="104" priority="309">
      <formula>NOT(_xlfn.ISFORMULA($E$15))</formula>
    </cfRule>
  </conditionalFormatting>
  <conditionalFormatting sqref="F19">
    <cfRule type="expression" dxfId="103" priority="296">
      <formula>NOT(_xlfn.ISFORMULA($C$19))</formula>
    </cfRule>
    <cfRule type="expression" dxfId="102" priority="300">
      <formula>NOT(_xlfn.ISFORMULA($E$19))</formula>
    </cfRule>
    <cfRule type="expression" dxfId="101" priority="304">
      <formula>NOT(_xlfn.ISFORMULA($C$16))</formula>
    </cfRule>
    <cfRule type="expression" dxfId="100" priority="308">
      <formula>NOT(_xlfn.ISFORMULA($E$16))</formula>
    </cfRule>
  </conditionalFormatting>
  <conditionalFormatting sqref="F20">
    <cfRule type="expression" dxfId="99" priority="295">
      <formula>NOT(_xlfn.ISFORMULA($C$20))</formula>
    </cfRule>
    <cfRule type="expression" dxfId="98" priority="299">
      <formula>NOT(_xlfn.ISFORMULA($E$20))</formula>
    </cfRule>
    <cfRule type="expression" dxfId="97" priority="303">
      <formula>NOT(_xlfn.ISFORMULA($C$17))</formula>
    </cfRule>
    <cfRule type="expression" dxfId="96" priority="307">
      <formula>NOT(_xlfn.ISFORMULA($E$17))</formula>
    </cfRule>
  </conditionalFormatting>
  <conditionalFormatting sqref="F14">
    <cfRule type="expression" dxfId="95" priority="311">
      <formula>NOT(_xlfn.ISFORMULA($C$14))</formula>
    </cfRule>
    <cfRule type="expression" dxfId="94" priority="312">
      <formula>NOT(_xlfn.ISFORMULA($E$14))</formula>
    </cfRule>
    <cfRule type="expression" dxfId="93" priority="313">
      <formula>NOT(_xlfn.ISFORMULA($I$9))</formula>
    </cfRule>
    <cfRule type="expression" dxfId="92" priority="314">
      <formula>NOT(_xlfn.ISFORMULA($K$9))</formula>
    </cfRule>
  </conditionalFormatting>
  <conditionalFormatting sqref="F15">
    <cfRule type="expression" dxfId="91" priority="315">
      <formula>NOT(_xlfn.ISFORMULA($C$15))</formula>
    </cfRule>
    <cfRule type="expression" dxfId="90" priority="316">
      <formula>NOT(_xlfn.ISFORMULA($E$15))</formula>
    </cfRule>
    <cfRule type="expression" dxfId="89" priority="317">
      <formula>NOT(_xlfn.ISFORMULA($I$10))</formula>
    </cfRule>
    <cfRule type="expression" dxfId="88" priority="318">
      <formula>NOT(_xlfn.ISFORMULA($K$10))</formula>
    </cfRule>
  </conditionalFormatting>
  <conditionalFormatting sqref="F16">
    <cfRule type="expression" dxfId="87" priority="319">
      <formula>NOT(_xlfn.ISFORMULA($C$16))</formula>
    </cfRule>
    <cfRule type="expression" dxfId="86" priority="320">
      <formula>NOT(_xlfn.ISFORMULA($E$16))</formula>
    </cfRule>
    <cfRule type="expression" dxfId="85" priority="321">
      <formula>NOT(_xlfn.ISFORMULA($I$11))</formula>
    </cfRule>
    <cfRule type="expression" dxfId="84" priority="322">
      <formula>NOT(_xlfn.ISFORMULA($K$11))</formula>
    </cfRule>
  </conditionalFormatting>
  <conditionalFormatting sqref="C5">
    <cfRule type="expression" dxfId="20" priority="21">
      <formula>_xlfn.ISFORMULA($C$5)</formula>
    </cfRule>
  </conditionalFormatting>
  <conditionalFormatting sqref="C6">
    <cfRule type="expression" dxfId="19" priority="20">
      <formula>_xlfn.ISFORMULA($C$6)</formula>
    </cfRule>
  </conditionalFormatting>
  <conditionalFormatting sqref="C7">
    <cfRule type="expression" dxfId="18" priority="19">
      <formula>_xlfn.ISFORMULA($C$7)</formula>
    </cfRule>
  </conditionalFormatting>
  <conditionalFormatting sqref="C8">
    <cfRule type="expression" dxfId="17" priority="18">
      <formula>_xlfn.ISFORMULA($C$8)</formula>
    </cfRule>
  </conditionalFormatting>
  <conditionalFormatting sqref="C9">
    <cfRule type="expression" dxfId="16" priority="17">
      <formula>_xlfn.ISFORMULA($C$9)</formula>
    </cfRule>
  </conditionalFormatting>
  <conditionalFormatting sqref="C10">
    <cfRule type="expression" dxfId="15" priority="16">
      <formula>_xlfn.ISFORMULA($C$10)</formula>
    </cfRule>
  </conditionalFormatting>
  <conditionalFormatting sqref="C11">
    <cfRule type="expression" dxfId="14" priority="15">
      <formula>_xlfn.ISFORMULA($C$11)</formula>
    </cfRule>
  </conditionalFormatting>
  <conditionalFormatting sqref="I5">
    <cfRule type="expression" dxfId="13" priority="14">
      <formula>_xlfn.ISFORMULA($I$5)</formula>
    </cfRule>
  </conditionalFormatting>
  <conditionalFormatting sqref="I6">
    <cfRule type="expression" dxfId="12" priority="13">
      <formula>_xlfn.ISFORMULA($I$6)</formula>
    </cfRule>
  </conditionalFormatting>
  <conditionalFormatting sqref="I7">
    <cfRule type="expression" dxfId="11" priority="12">
      <formula>_xlfn.ISFORMULA($I$7)</formula>
    </cfRule>
  </conditionalFormatting>
  <conditionalFormatting sqref="I8">
    <cfRule type="expression" dxfId="10" priority="11">
      <formula>_xlfn.ISFORMULA($I$8)</formula>
    </cfRule>
  </conditionalFormatting>
  <conditionalFormatting sqref="I9">
    <cfRule type="expression" dxfId="9" priority="10">
      <formula>_xlfn.ISFORMULA($I$9)</formula>
    </cfRule>
  </conditionalFormatting>
  <conditionalFormatting sqref="I10">
    <cfRule type="expression" dxfId="8" priority="9">
      <formula>_xlfn.ISFORMULA($I$10)</formula>
    </cfRule>
  </conditionalFormatting>
  <conditionalFormatting sqref="I11">
    <cfRule type="expression" dxfId="7" priority="8">
      <formula>_xlfn.ISFORMULA($I$11)</formula>
    </cfRule>
  </conditionalFormatting>
  <conditionalFormatting sqref="C14">
    <cfRule type="expression" dxfId="6" priority="7">
      <formula>_xlfn.ISFORMULA($C$14)</formula>
    </cfRule>
  </conditionalFormatting>
  <conditionalFormatting sqref="C15">
    <cfRule type="expression" dxfId="5" priority="6">
      <formula>_xlfn.ISFORMULA($C$15)</formula>
    </cfRule>
  </conditionalFormatting>
  <conditionalFormatting sqref="C16">
    <cfRule type="expression" dxfId="4" priority="5">
      <formula>_xlfn.ISFORMULA($C$16)</formula>
    </cfRule>
  </conditionalFormatting>
  <conditionalFormatting sqref="C17">
    <cfRule type="expression" dxfId="3" priority="4">
      <formula>_xlfn.ISFORMULA($C$17)</formula>
    </cfRule>
  </conditionalFormatting>
  <conditionalFormatting sqref="C18">
    <cfRule type="expression" dxfId="2" priority="3">
      <formula>_xlfn.ISFORMULA($C$18)</formula>
    </cfRule>
  </conditionalFormatting>
  <conditionalFormatting sqref="C19">
    <cfRule type="expression" dxfId="1" priority="2">
      <formula>_xlfn.ISFORMULA($C$19)</formula>
    </cfRule>
  </conditionalFormatting>
  <conditionalFormatting sqref="C20">
    <cfRule type="expression" dxfId="0" priority="1">
      <formula>_xlfn.ISFORMULA($C$20)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 macro="[0]!PPH">
                <anchor moveWithCells="1">
                  <from>
                    <xdr:col>1</xdr:col>
                    <xdr:colOff>428625</xdr:colOff>
                    <xdr:row>1</xdr:row>
                    <xdr:rowOff>28575</xdr:rowOff>
                  </from>
                  <to>
                    <xdr:col>2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 macro="[0]!Cases">
                <anchor moveWithCells="1">
                  <from>
                    <xdr:col>2</xdr:col>
                    <xdr:colOff>247650</xdr:colOff>
                    <xdr:row>1</xdr:row>
                    <xdr:rowOff>47625</xdr:rowOff>
                  </from>
                  <to>
                    <xdr:col>2</xdr:col>
                    <xdr:colOff>1019175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PPH Blank</vt:lpstr>
      <vt:lpstr>Cases Blank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 User</dc:creator>
  <cp:lastModifiedBy>jonathan resch</cp:lastModifiedBy>
  <dcterms:created xsi:type="dcterms:W3CDTF">2017-12-01T17:33:08Z</dcterms:created>
  <dcterms:modified xsi:type="dcterms:W3CDTF">2021-05-27T13:02:10Z</dcterms:modified>
</cp:coreProperties>
</file>